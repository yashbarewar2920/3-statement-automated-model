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Teamplates &amp; Projects\"/>
    </mc:Choice>
  </mc:AlternateContent>
  <xr:revisionPtr revIDLastSave="0" documentId="13_ncr:1_{9F27CD3A-D6D0-4EC1-99FC-700C47D0053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inancials&gt;" sheetId="9" r:id="rId1"/>
    <sheet name="Ratio Analysis" sheetId="11" r:id="rId2"/>
    <sheet name="Cashflow Data" sheetId="10" r:id="rId3"/>
    <sheet name="HistoricalFS" sheetId="8" r:id="rId4"/>
    <sheet name="Data&gt;" sheetId="7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30" i="11" l="1"/>
  <c r="K30" i="11"/>
  <c r="J30" i="11"/>
  <c r="I30" i="11"/>
  <c r="H30" i="11"/>
  <c r="H36" i="11" s="1"/>
  <c r="G30" i="11"/>
  <c r="G36" i="11" s="1"/>
  <c r="F30" i="11"/>
  <c r="F36" i="11" s="1"/>
  <c r="E30" i="11"/>
  <c r="E36" i="11" s="1"/>
  <c r="D30" i="11"/>
  <c r="D36" i="11" s="1"/>
  <c r="C30" i="11"/>
  <c r="C36" i="11"/>
  <c r="L8" i="11"/>
  <c r="K8" i="11"/>
  <c r="J8" i="11"/>
  <c r="I8" i="11"/>
  <c r="H8" i="11"/>
  <c r="G8" i="11"/>
  <c r="F8" i="11"/>
  <c r="E8" i="11"/>
  <c r="N8" i="11" s="1"/>
  <c r="D8" i="11"/>
  <c r="L7" i="11"/>
  <c r="K7" i="11"/>
  <c r="J7" i="11"/>
  <c r="I7" i="11"/>
  <c r="H7" i="11"/>
  <c r="G7" i="11"/>
  <c r="F7" i="11"/>
  <c r="E7" i="11"/>
  <c r="D7" i="11"/>
  <c r="L6" i="11"/>
  <c r="K6" i="11"/>
  <c r="J6" i="11"/>
  <c r="I6" i="11"/>
  <c r="H6" i="11"/>
  <c r="G6" i="11"/>
  <c r="F6" i="11"/>
  <c r="E6" i="11"/>
  <c r="O6" i="11" s="1"/>
  <c r="D6" i="11"/>
  <c r="O9" i="11"/>
  <c r="O5" i="11"/>
  <c r="O41" i="11"/>
  <c r="O40" i="11"/>
  <c r="O39" i="11"/>
  <c r="O35" i="11"/>
  <c r="O34" i="11"/>
  <c r="O32" i="11"/>
  <c r="O31" i="11"/>
  <c r="O29" i="11"/>
  <c r="O28" i="11"/>
  <c r="O26" i="11"/>
  <c r="O25" i="11"/>
  <c r="O24" i="11"/>
  <c r="O23" i="11"/>
  <c r="O22" i="11"/>
  <c r="O20" i="11"/>
  <c r="O19" i="11"/>
  <c r="O18" i="11"/>
  <c r="O16" i="11"/>
  <c r="O15" i="11"/>
  <c r="O14" i="11"/>
  <c r="O13" i="11"/>
  <c r="O12" i="11"/>
  <c r="O11" i="11"/>
  <c r="N41" i="11"/>
  <c r="N40" i="11"/>
  <c r="N39" i="11"/>
  <c r="N35" i="11"/>
  <c r="N34" i="11"/>
  <c r="N32" i="11"/>
  <c r="N31" i="11"/>
  <c r="N29" i="11"/>
  <c r="N28" i="11"/>
  <c r="N26" i="11"/>
  <c r="N25" i="11"/>
  <c r="N24" i="11"/>
  <c r="N23" i="11"/>
  <c r="N22" i="11"/>
  <c r="N20" i="11"/>
  <c r="N19" i="11"/>
  <c r="N18" i="11"/>
  <c r="N16" i="11"/>
  <c r="N15" i="11"/>
  <c r="N14" i="11"/>
  <c r="N13" i="11"/>
  <c r="N12" i="11"/>
  <c r="N11" i="11"/>
  <c r="N9" i="11"/>
  <c r="N5" i="11"/>
  <c r="L41" i="11"/>
  <c r="K41" i="11"/>
  <c r="J41" i="11"/>
  <c r="I41" i="11"/>
  <c r="H41" i="11"/>
  <c r="G41" i="11"/>
  <c r="F41" i="11"/>
  <c r="E41" i="11"/>
  <c r="D41" i="11"/>
  <c r="L40" i="11"/>
  <c r="K40" i="11"/>
  <c r="J40" i="11"/>
  <c r="I40" i="11"/>
  <c r="H40" i="11"/>
  <c r="G40" i="11"/>
  <c r="F40" i="11"/>
  <c r="E40" i="11"/>
  <c r="D40" i="11"/>
  <c r="L39" i="11"/>
  <c r="K39" i="11"/>
  <c r="J39" i="11"/>
  <c r="I39" i="11"/>
  <c r="H39" i="11"/>
  <c r="G39" i="11"/>
  <c r="F39" i="11"/>
  <c r="E39" i="11"/>
  <c r="D39" i="11"/>
  <c r="C41" i="11"/>
  <c r="C40" i="11"/>
  <c r="C39" i="11"/>
  <c r="L36" i="11"/>
  <c r="L37" i="11" s="1"/>
  <c r="K36" i="11"/>
  <c r="K37" i="11" s="1"/>
  <c r="J36" i="11"/>
  <c r="J37" i="11" s="1"/>
  <c r="L35" i="11"/>
  <c r="K35" i="11"/>
  <c r="J35" i="11"/>
  <c r="I35" i="11"/>
  <c r="H35" i="11"/>
  <c r="G35" i="11"/>
  <c r="E35" i="11"/>
  <c r="L34" i="11"/>
  <c r="K34" i="11"/>
  <c r="J34" i="11"/>
  <c r="I34" i="11"/>
  <c r="H34" i="11"/>
  <c r="G34" i="11"/>
  <c r="F34" i="11"/>
  <c r="E34" i="11"/>
  <c r="D34" i="11"/>
  <c r="L32" i="11"/>
  <c r="K32" i="11"/>
  <c r="J32" i="11"/>
  <c r="I32" i="11"/>
  <c r="H32" i="11"/>
  <c r="G32" i="11"/>
  <c r="F32" i="11"/>
  <c r="E32" i="11"/>
  <c r="D32" i="11"/>
  <c r="L31" i="11"/>
  <c r="K31" i="11"/>
  <c r="J31" i="11"/>
  <c r="I31" i="11"/>
  <c r="H31" i="11"/>
  <c r="G31" i="11"/>
  <c r="F31" i="11"/>
  <c r="E31" i="11"/>
  <c r="D31" i="11"/>
  <c r="I36" i="11"/>
  <c r="L29" i="11"/>
  <c r="K29" i="11"/>
  <c r="J29" i="11"/>
  <c r="I29" i="11"/>
  <c r="H29" i="11"/>
  <c r="G29" i="11"/>
  <c r="F29" i="11"/>
  <c r="F35" i="11" s="1"/>
  <c r="E29" i="11"/>
  <c r="D29" i="11"/>
  <c r="D35" i="11" s="1"/>
  <c r="L28" i="11"/>
  <c r="K28" i="11"/>
  <c r="J28" i="11"/>
  <c r="I28" i="11"/>
  <c r="H28" i="11"/>
  <c r="G28" i="11"/>
  <c r="F28" i="11"/>
  <c r="E28" i="11"/>
  <c r="D28" i="11"/>
  <c r="C32" i="11"/>
  <c r="C31" i="11"/>
  <c r="C28" i="11"/>
  <c r="C34" i="11" s="1"/>
  <c r="C29" i="11"/>
  <c r="C35" i="11" s="1"/>
  <c r="L26" i="11"/>
  <c r="K26" i="11"/>
  <c r="J26" i="11"/>
  <c r="I26" i="11"/>
  <c r="H26" i="11"/>
  <c r="G26" i="11"/>
  <c r="F26" i="11"/>
  <c r="E26" i="11"/>
  <c r="D26" i="11"/>
  <c r="C26" i="11"/>
  <c r="L9" i="11"/>
  <c r="K9" i="11"/>
  <c r="J9" i="11"/>
  <c r="I9" i="11"/>
  <c r="H9" i="11"/>
  <c r="G9" i="11"/>
  <c r="F9" i="11"/>
  <c r="E9" i="11"/>
  <c r="L5" i="11"/>
  <c r="K5" i="11"/>
  <c r="J5" i="11"/>
  <c r="I5" i="11"/>
  <c r="H5" i="11"/>
  <c r="G5" i="11"/>
  <c r="F5" i="11"/>
  <c r="E5" i="11"/>
  <c r="E41" i="9"/>
  <c r="D5" i="11"/>
  <c r="L24" i="11"/>
  <c r="K24" i="11"/>
  <c r="J24" i="11"/>
  <c r="I24" i="11"/>
  <c r="H24" i="11"/>
  <c r="G24" i="11"/>
  <c r="F24" i="11"/>
  <c r="E24" i="11"/>
  <c r="D24" i="11"/>
  <c r="L23" i="11"/>
  <c r="K23" i="11"/>
  <c r="J23" i="11"/>
  <c r="I23" i="11"/>
  <c r="H23" i="11"/>
  <c r="G23" i="11"/>
  <c r="F23" i="11"/>
  <c r="D23" i="11"/>
  <c r="L22" i="11"/>
  <c r="K22" i="11"/>
  <c r="J22" i="11"/>
  <c r="I22" i="11"/>
  <c r="H22" i="11"/>
  <c r="G22" i="11"/>
  <c r="F22" i="11"/>
  <c r="E22" i="11"/>
  <c r="D22" i="11"/>
  <c r="C24" i="11"/>
  <c r="C23" i="11"/>
  <c r="C22" i="11"/>
  <c r="L19" i="11"/>
  <c r="K19" i="11"/>
  <c r="J19" i="11"/>
  <c r="I19" i="11"/>
  <c r="H19" i="11"/>
  <c r="G19" i="11"/>
  <c r="F19" i="11"/>
  <c r="E19" i="11"/>
  <c r="D19" i="11"/>
  <c r="L18" i="11"/>
  <c r="K18" i="11"/>
  <c r="J18" i="11"/>
  <c r="I18" i="11"/>
  <c r="H18" i="11"/>
  <c r="G18" i="11"/>
  <c r="F18" i="11"/>
  <c r="E18" i="11"/>
  <c r="D18" i="11"/>
  <c r="C19" i="11"/>
  <c r="C18" i="11"/>
  <c r="L16" i="11"/>
  <c r="K16" i="11"/>
  <c r="J16" i="11"/>
  <c r="I16" i="11"/>
  <c r="H16" i="11"/>
  <c r="G16" i="11"/>
  <c r="F16" i="11"/>
  <c r="E16" i="11"/>
  <c r="D16" i="11"/>
  <c r="L15" i="11"/>
  <c r="K15" i="11"/>
  <c r="J15" i="11"/>
  <c r="I15" i="11"/>
  <c r="H15" i="11"/>
  <c r="G15" i="11"/>
  <c r="F15" i="11"/>
  <c r="E15" i="11"/>
  <c r="D15" i="11"/>
  <c r="L14" i="11"/>
  <c r="L20" i="11" s="1"/>
  <c r="K14" i="11"/>
  <c r="K20" i="11" s="1"/>
  <c r="J14" i="11"/>
  <c r="J20" i="11" s="1"/>
  <c r="I14" i="11"/>
  <c r="I20" i="11" s="1"/>
  <c r="H14" i="11"/>
  <c r="H20" i="11" s="1"/>
  <c r="G14" i="11"/>
  <c r="G20" i="11" s="1"/>
  <c r="F14" i="11"/>
  <c r="F20" i="11" s="1"/>
  <c r="E14" i="11"/>
  <c r="E20" i="11" s="1"/>
  <c r="D14" i="11"/>
  <c r="D20" i="11" s="1"/>
  <c r="L13" i="11"/>
  <c r="K13" i="11"/>
  <c r="J13" i="11"/>
  <c r="I13" i="11"/>
  <c r="H13" i="11"/>
  <c r="G13" i="11"/>
  <c r="F13" i="11"/>
  <c r="E13" i="11"/>
  <c r="D13" i="11"/>
  <c r="L12" i="11"/>
  <c r="K12" i="11"/>
  <c r="J12" i="11"/>
  <c r="I12" i="11"/>
  <c r="H12" i="11"/>
  <c r="G12" i="11"/>
  <c r="F12" i="11"/>
  <c r="E12" i="11"/>
  <c r="D12" i="11"/>
  <c r="L11" i="11"/>
  <c r="K11" i="11"/>
  <c r="J11" i="11"/>
  <c r="I11" i="11"/>
  <c r="H11" i="11"/>
  <c r="G11" i="11"/>
  <c r="F11" i="11"/>
  <c r="E11" i="11"/>
  <c r="D11" i="11"/>
  <c r="C16" i="11"/>
  <c r="C15" i="11"/>
  <c r="C14" i="11"/>
  <c r="C20" i="11" s="1"/>
  <c r="M24" i="9"/>
  <c r="L24" i="9"/>
  <c r="K24" i="9"/>
  <c r="J24" i="9"/>
  <c r="I24" i="9"/>
  <c r="H24" i="9"/>
  <c r="G24" i="9"/>
  <c r="F24" i="9"/>
  <c r="E24" i="9"/>
  <c r="D24" i="9"/>
  <c r="C24" i="9"/>
  <c r="C26" i="9"/>
  <c r="D26" i="9"/>
  <c r="E26" i="9"/>
  <c r="F26" i="9"/>
  <c r="G26" i="9"/>
  <c r="H26" i="9"/>
  <c r="I26" i="9"/>
  <c r="J26" i="9"/>
  <c r="K26" i="9"/>
  <c r="L26" i="9"/>
  <c r="M26" i="9"/>
  <c r="B2" i="11"/>
  <c r="L3" i="11"/>
  <c r="K3" i="11"/>
  <c r="J3" i="11"/>
  <c r="I3" i="11"/>
  <c r="H3" i="11"/>
  <c r="G3" i="11"/>
  <c r="F3" i="11"/>
  <c r="E3" i="11"/>
  <c r="D3" i="11"/>
  <c r="C3" i="11"/>
  <c r="C5" i="9"/>
  <c r="M101" i="9"/>
  <c r="L101" i="9"/>
  <c r="K101" i="9"/>
  <c r="J101" i="9"/>
  <c r="I101" i="9"/>
  <c r="H101" i="9"/>
  <c r="G101" i="9"/>
  <c r="F101" i="9"/>
  <c r="E101" i="9"/>
  <c r="D101" i="9"/>
  <c r="C101" i="9"/>
  <c r="M100" i="9"/>
  <c r="L100" i="9"/>
  <c r="K100" i="9"/>
  <c r="J100" i="9"/>
  <c r="I100" i="9"/>
  <c r="H100" i="9"/>
  <c r="G100" i="9"/>
  <c r="F100" i="9"/>
  <c r="E100" i="9"/>
  <c r="D100" i="9"/>
  <c r="C100" i="9"/>
  <c r="M99" i="9"/>
  <c r="L99" i="9"/>
  <c r="K99" i="9"/>
  <c r="J99" i="9"/>
  <c r="I99" i="9"/>
  <c r="H99" i="9"/>
  <c r="G99" i="9"/>
  <c r="F99" i="9"/>
  <c r="E99" i="9"/>
  <c r="D99" i="9"/>
  <c r="C99" i="9"/>
  <c r="M98" i="9"/>
  <c r="L98" i="9"/>
  <c r="K98" i="9"/>
  <c r="J98" i="9"/>
  <c r="I98" i="9"/>
  <c r="H98" i="9"/>
  <c r="G98" i="9"/>
  <c r="F98" i="9"/>
  <c r="E98" i="9"/>
  <c r="D98" i="9"/>
  <c r="C98" i="9"/>
  <c r="M97" i="9"/>
  <c r="L97" i="9"/>
  <c r="K97" i="9"/>
  <c r="J97" i="9"/>
  <c r="I97" i="9"/>
  <c r="H97" i="9"/>
  <c r="G97" i="9"/>
  <c r="F97" i="9"/>
  <c r="E97" i="9"/>
  <c r="D97" i="9"/>
  <c r="C97" i="9"/>
  <c r="M96" i="9"/>
  <c r="L96" i="9"/>
  <c r="K96" i="9"/>
  <c r="J96" i="9"/>
  <c r="I96" i="9"/>
  <c r="H96" i="9"/>
  <c r="G96" i="9"/>
  <c r="F96" i="9"/>
  <c r="E96" i="9"/>
  <c r="D96" i="9"/>
  <c r="C96" i="9"/>
  <c r="M95" i="9"/>
  <c r="L95" i="9"/>
  <c r="K95" i="9"/>
  <c r="J95" i="9"/>
  <c r="I95" i="9"/>
  <c r="H95" i="9"/>
  <c r="G95" i="9"/>
  <c r="F95" i="9"/>
  <c r="E95" i="9"/>
  <c r="D95" i="9"/>
  <c r="C95" i="9"/>
  <c r="M94" i="9"/>
  <c r="L94" i="9"/>
  <c r="K94" i="9"/>
  <c r="J94" i="9"/>
  <c r="I94" i="9"/>
  <c r="H94" i="9"/>
  <c r="G94" i="9"/>
  <c r="F94" i="9"/>
  <c r="E94" i="9"/>
  <c r="D94" i="9"/>
  <c r="C94" i="9"/>
  <c r="M90" i="9"/>
  <c r="L90" i="9"/>
  <c r="K90" i="9"/>
  <c r="J90" i="9"/>
  <c r="I90" i="9"/>
  <c r="H90" i="9"/>
  <c r="G90" i="9"/>
  <c r="F90" i="9"/>
  <c r="E90" i="9"/>
  <c r="D90" i="9"/>
  <c r="C90" i="9"/>
  <c r="M89" i="9"/>
  <c r="L89" i="9"/>
  <c r="K89" i="9"/>
  <c r="J89" i="9"/>
  <c r="I89" i="9"/>
  <c r="H89" i="9"/>
  <c r="G89" i="9"/>
  <c r="F89" i="9"/>
  <c r="E89" i="9"/>
  <c r="D89" i="9"/>
  <c r="C89" i="9"/>
  <c r="M88" i="9"/>
  <c r="L88" i="9"/>
  <c r="K88" i="9"/>
  <c r="J88" i="9"/>
  <c r="I88" i="9"/>
  <c r="H88" i="9"/>
  <c r="G88" i="9"/>
  <c r="F88" i="9"/>
  <c r="E88" i="9"/>
  <c r="D88" i="9"/>
  <c r="C88" i="9"/>
  <c r="M87" i="9"/>
  <c r="L87" i="9"/>
  <c r="K87" i="9"/>
  <c r="J87" i="9"/>
  <c r="I87" i="9"/>
  <c r="H87" i="9"/>
  <c r="G87" i="9"/>
  <c r="F87" i="9"/>
  <c r="E87" i="9"/>
  <c r="D87" i="9"/>
  <c r="C87" i="9"/>
  <c r="M86" i="9"/>
  <c r="L86" i="9"/>
  <c r="K86" i="9"/>
  <c r="J86" i="9"/>
  <c r="I86" i="9"/>
  <c r="H86" i="9"/>
  <c r="G86" i="9"/>
  <c r="F86" i="9"/>
  <c r="E86" i="9"/>
  <c r="D86" i="9"/>
  <c r="C86" i="9"/>
  <c r="M85" i="9"/>
  <c r="L85" i="9"/>
  <c r="K85" i="9"/>
  <c r="J85" i="9"/>
  <c r="I85" i="9"/>
  <c r="H85" i="9"/>
  <c r="G85" i="9"/>
  <c r="F85" i="9"/>
  <c r="E85" i="9"/>
  <c r="D85" i="9"/>
  <c r="C85" i="9"/>
  <c r="M84" i="9"/>
  <c r="L84" i="9"/>
  <c r="K84" i="9"/>
  <c r="J84" i="9"/>
  <c r="I84" i="9"/>
  <c r="H84" i="9"/>
  <c r="G84" i="9"/>
  <c r="F84" i="9"/>
  <c r="E84" i="9"/>
  <c r="D84" i="9"/>
  <c r="C84" i="9"/>
  <c r="M83" i="9"/>
  <c r="L83" i="9"/>
  <c r="K83" i="9"/>
  <c r="J83" i="9"/>
  <c r="I83" i="9"/>
  <c r="H83" i="9"/>
  <c r="G83" i="9"/>
  <c r="F83" i="9"/>
  <c r="E83" i="9"/>
  <c r="D83" i="9"/>
  <c r="C83" i="9"/>
  <c r="M82" i="9"/>
  <c r="L82" i="9"/>
  <c r="K82" i="9"/>
  <c r="J82" i="9"/>
  <c r="I82" i="9"/>
  <c r="H82" i="9"/>
  <c r="G82" i="9"/>
  <c r="F82" i="9"/>
  <c r="E82" i="9"/>
  <c r="D82" i="9"/>
  <c r="C82" i="9"/>
  <c r="M81" i="9"/>
  <c r="L81" i="9"/>
  <c r="K81" i="9"/>
  <c r="J81" i="9"/>
  <c r="I81" i="9"/>
  <c r="H81" i="9"/>
  <c r="G81" i="9"/>
  <c r="F81" i="9"/>
  <c r="E81" i="9"/>
  <c r="D81" i="9"/>
  <c r="C81" i="9"/>
  <c r="M80" i="9"/>
  <c r="L80" i="9"/>
  <c r="K80" i="9"/>
  <c r="J80" i="9"/>
  <c r="I80" i="9"/>
  <c r="H80" i="9"/>
  <c r="G80" i="9"/>
  <c r="F80" i="9"/>
  <c r="E80" i="9"/>
  <c r="D80" i="9"/>
  <c r="C80" i="9"/>
  <c r="M76" i="9"/>
  <c r="L76" i="9"/>
  <c r="K76" i="9"/>
  <c r="J76" i="9"/>
  <c r="I76" i="9"/>
  <c r="H76" i="9"/>
  <c r="G76" i="9"/>
  <c r="F76" i="9"/>
  <c r="E76" i="9"/>
  <c r="D76" i="9"/>
  <c r="C76" i="9"/>
  <c r="M75" i="9"/>
  <c r="L75" i="9"/>
  <c r="K75" i="9"/>
  <c r="J75" i="9"/>
  <c r="I75" i="9"/>
  <c r="H75" i="9"/>
  <c r="G75" i="9"/>
  <c r="F75" i="9"/>
  <c r="E75" i="9"/>
  <c r="D75" i="9"/>
  <c r="C75" i="9"/>
  <c r="M74" i="9"/>
  <c r="L74" i="9"/>
  <c r="K74" i="9"/>
  <c r="J74" i="9"/>
  <c r="I74" i="9"/>
  <c r="H74" i="9"/>
  <c r="G74" i="9"/>
  <c r="F74" i="9"/>
  <c r="E74" i="9"/>
  <c r="D74" i="9"/>
  <c r="C74" i="9"/>
  <c r="M73" i="9"/>
  <c r="L73" i="9"/>
  <c r="K73" i="9"/>
  <c r="J73" i="9"/>
  <c r="I73" i="9"/>
  <c r="H73" i="9"/>
  <c r="G73" i="9"/>
  <c r="F73" i="9"/>
  <c r="E73" i="9"/>
  <c r="D73" i="9"/>
  <c r="C73" i="9"/>
  <c r="M72" i="9"/>
  <c r="L72" i="9"/>
  <c r="K72" i="9"/>
  <c r="J72" i="9"/>
  <c r="I72" i="9"/>
  <c r="H72" i="9"/>
  <c r="G72" i="9"/>
  <c r="F72" i="9"/>
  <c r="E72" i="9"/>
  <c r="D72" i="9"/>
  <c r="C72" i="9"/>
  <c r="M71" i="9"/>
  <c r="L71" i="9"/>
  <c r="K71" i="9"/>
  <c r="J71" i="9"/>
  <c r="I71" i="9"/>
  <c r="H71" i="9"/>
  <c r="G71" i="9"/>
  <c r="F71" i="9"/>
  <c r="E71" i="9"/>
  <c r="D71" i="9"/>
  <c r="C71" i="9"/>
  <c r="M70" i="9"/>
  <c r="L70" i="9"/>
  <c r="K70" i="9"/>
  <c r="J70" i="9"/>
  <c r="I70" i="9"/>
  <c r="H70" i="9"/>
  <c r="G70" i="9"/>
  <c r="F70" i="9"/>
  <c r="E70" i="9"/>
  <c r="D70" i="9"/>
  <c r="C70" i="9"/>
  <c r="M61" i="9"/>
  <c r="L61" i="9"/>
  <c r="K61" i="9"/>
  <c r="J61" i="9"/>
  <c r="I61" i="9"/>
  <c r="H61" i="9"/>
  <c r="G61" i="9"/>
  <c r="F61" i="9"/>
  <c r="E61" i="9"/>
  <c r="D61" i="9"/>
  <c r="C61" i="9"/>
  <c r="M60" i="9"/>
  <c r="L60" i="9"/>
  <c r="K60" i="9"/>
  <c r="J60" i="9"/>
  <c r="I60" i="9"/>
  <c r="H60" i="9"/>
  <c r="G60" i="9"/>
  <c r="F60" i="9"/>
  <c r="E60" i="9"/>
  <c r="D60" i="9"/>
  <c r="C60" i="9"/>
  <c r="M59" i="9"/>
  <c r="L59" i="9"/>
  <c r="K59" i="9"/>
  <c r="J59" i="9"/>
  <c r="I59" i="9"/>
  <c r="H59" i="9"/>
  <c r="G59" i="9"/>
  <c r="F59" i="9"/>
  <c r="E59" i="9"/>
  <c r="D59" i="9"/>
  <c r="C59" i="9"/>
  <c r="M56" i="9"/>
  <c r="L56" i="9"/>
  <c r="K56" i="9"/>
  <c r="J56" i="9"/>
  <c r="I56" i="9"/>
  <c r="H56" i="9"/>
  <c r="G56" i="9"/>
  <c r="F56" i="9"/>
  <c r="E56" i="9"/>
  <c r="D56" i="9"/>
  <c r="C56" i="9"/>
  <c r="M55" i="9"/>
  <c r="L55" i="9"/>
  <c r="K55" i="9"/>
  <c r="J55" i="9"/>
  <c r="I55" i="9"/>
  <c r="H55" i="9"/>
  <c r="G55" i="9"/>
  <c r="F55" i="9"/>
  <c r="E55" i="9"/>
  <c r="D55" i="9"/>
  <c r="C55" i="9"/>
  <c r="M54" i="9"/>
  <c r="L54" i="9"/>
  <c r="K54" i="9"/>
  <c r="J54" i="9"/>
  <c r="I54" i="9"/>
  <c r="H54" i="9"/>
  <c r="G54" i="9"/>
  <c r="F54" i="9"/>
  <c r="E54" i="9"/>
  <c r="D54" i="9"/>
  <c r="C54" i="9"/>
  <c r="M53" i="9"/>
  <c r="L53" i="9"/>
  <c r="K53" i="9"/>
  <c r="J53" i="9"/>
  <c r="I53" i="9"/>
  <c r="H53" i="9"/>
  <c r="G53" i="9"/>
  <c r="F53" i="9"/>
  <c r="E53" i="9"/>
  <c r="D53" i="9"/>
  <c r="C53" i="9"/>
  <c r="M51" i="9"/>
  <c r="L51" i="9"/>
  <c r="K51" i="9"/>
  <c r="J51" i="9"/>
  <c r="I51" i="9"/>
  <c r="H51" i="9"/>
  <c r="G51" i="9"/>
  <c r="F51" i="9"/>
  <c r="E51" i="9"/>
  <c r="D51" i="9"/>
  <c r="C51" i="9"/>
  <c r="M50" i="9"/>
  <c r="L50" i="9"/>
  <c r="K50" i="9"/>
  <c r="J50" i="9"/>
  <c r="I50" i="9"/>
  <c r="H50" i="9"/>
  <c r="G50" i="9"/>
  <c r="F50" i="9"/>
  <c r="E50" i="9"/>
  <c r="D50" i="9"/>
  <c r="C50" i="9"/>
  <c r="M49" i="9"/>
  <c r="L49" i="9"/>
  <c r="K49" i="9"/>
  <c r="J49" i="9"/>
  <c r="I49" i="9"/>
  <c r="H49" i="9"/>
  <c r="G49" i="9"/>
  <c r="F49" i="9"/>
  <c r="E49" i="9"/>
  <c r="D49" i="9"/>
  <c r="C49" i="9"/>
  <c r="M48" i="9"/>
  <c r="L48" i="9"/>
  <c r="K48" i="9"/>
  <c r="J48" i="9"/>
  <c r="I48" i="9"/>
  <c r="H48" i="9"/>
  <c r="G48" i="9"/>
  <c r="F48" i="9"/>
  <c r="E48" i="9"/>
  <c r="D48" i="9"/>
  <c r="C48" i="9"/>
  <c r="M47" i="9"/>
  <c r="L47" i="9"/>
  <c r="K47" i="9"/>
  <c r="J47" i="9"/>
  <c r="I47" i="9"/>
  <c r="H47" i="9"/>
  <c r="G47" i="9"/>
  <c r="F47" i="9"/>
  <c r="E47" i="9"/>
  <c r="D47" i="9"/>
  <c r="C47" i="9"/>
  <c r="M38" i="9"/>
  <c r="M41" i="9" s="1"/>
  <c r="M42" i="9" s="1"/>
  <c r="L38" i="9"/>
  <c r="L41" i="9" s="1"/>
  <c r="L42" i="9" s="1"/>
  <c r="K38" i="9"/>
  <c r="K41" i="9" s="1"/>
  <c r="K42" i="9" s="1"/>
  <c r="J38" i="9"/>
  <c r="J41" i="9" s="1"/>
  <c r="J42" i="9" s="1"/>
  <c r="I38" i="9"/>
  <c r="I41" i="9" s="1"/>
  <c r="I42" i="9" s="1"/>
  <c r="H38" i="9"/>
  <c r="H41" i="9" s="1"/>
  <c r="H42" i="9" s="1"/>
  <c r="G38" i="9"/>
  <c r="G41" i="9" s="1"/>
  <c r="G42" i="9" s="1"/>
  <c r="F38" i="9"/>
  <c r="F41" i="9" s="1"/>
  <c r="F42" i="9" s="1"/>
  <c r="E38" i="9"/>
  <c r="E42" i="9" s="1"/>
  <c r="D38" i="9"/>
  <c r="D41" i="9" s="1"/>
  <c r="C38" i="9"/>
  <c r="C41" i="9" s="1"/>
  <c r="C42" i="9" s="1"/>
  <c r="M32" i="9"/>
  <c r="L32" i="9"/>
  <c r="K32" i="9"/>
  <c r="J32" i="9"/>
  <c r="I32" i="9"/>
  <c r="H32" i="9"/>
  <c r="G32" i="9"/>
  <c r="F32" i="9"/>
  <c r="E32" i="9"/>
  <c r="D32" i="9"/>
  <c r="C32" i="9"/>
  <c r="C20" i="9"/>
  <c r="M20" i="9"/>
  <c r="L20" i="9"/>
  <c r="K20" i="9"/>
  <c r="J20" i="9"/>
  <c r="I20" i="9"/>
  <c r="H20" i="9"/>
  <c r="G20" i="9"/>
  <c r="F20" i="9"/>
  <c r="E20" i="9"/>
  <c r="D20" i="9"/>
  <c r="M14" i="9"/>
  <c r="L14" i="9"/>
  <c r="K14" i="9"/>
  <c r="J14" i="9"/>
  <c r="I14" i="9"/>
  <c r="H14" i="9"/>
  <c r="G14" i="9"/>
  <c r="F14" i="9"/>
  <c r="E14" i="9"/>
  <c r="D14" i="9"/>
  <c r="C14" i="9"/>
  <c r="M8" i="9"/>
  <c r="J8" i="9"/>
  <c r="L8" i="9"/>
  <c r="K8" i="9"/>
  <c r="I8" i="9"/>
  <c r="H8" i="9"/>
  <c r="G8" i="9"/>
  <c r="F8" i="9"/>
  <c r="E8" i="9"/>
  <c r="D8" i="9"/>
  <c r="C8" i="9"/>
  <c r="L5" i="9"/>
  <c r="M5" i="9"/>
  <c r="K5" i="9"/>
  <c r="J5" i="9"/>
  <c r="I5" i="9"/>
  <c r="H5" i="9"/>
  <c r="G5" i="9"/>
  <c r="F5" i="9"/>
  <c r="E5" i="9"/>
  <c r="D5" i="9"/>
  <c r="L3" i="9"/>
  <c r="D3" i="9"/>
  <c r="E3" i="9"/>
  <c r="F3" i="9"/>
  <c r="G3" i="9"/>
  <c r="H3" i="9"/>
  <c r="I3" i="9"/>
  <c r="J3" i="9"/>
  <c r="K3" i="9"/>
  <c r="C3" i="9"/>
  <c r="B2" i="9"/>
  <c r="B6" i="6"/>
  <c r="E1" i="6"/>
  <c r="H37" i="11" l="1"/>
  <c r="F37" i="11"/>
  <c r="D37" i="11"/>
  <c r="C37" i="11"/>
  <c r="N36" i="11"/>
  <c r="O36" i="11"/>
  <c r="O30" i="11"/>
  <c r="N30" i="11"/>
  <c r="O8" i="11"/>
  <c r="O7" i="11"/>
  <c r="N7" i="11"/>
  <c r="N6" i="11"/>
  <c r="L25" i="11"/>
  <c r="G25" i="11"/>
  <c r="H25" i="11"/>
  <c r="I25" i="11"/>
  <c r="G37" i="11"/>
  <c r="I37" i="11"/>
  <c r="E37" i="11"/>
  <c r="D25" i="11"/>
  <c r="C25" i="11"/>
  <c r="J25" i="11"/>
  <c r="K25" i="11"/>
  <c r="F25" i="11"/>
  <c r="D42" i="9"/>
  <c r="D9" i="11"/>
  <c r="F6" i="9"/>
  <c r="K11" i="9"/>
  <c r="K12" i="9" s="1"/>
  <c r="L102" i="9"/>
  <c r="E27" i="9"/>
  <c r="J102" i="9"/>
  <c r="F27" i="9"/>
  <c r="K102" i="9"/>
  <c r="E6" i="9"/>
  <c r="M102" i="9"/>
  <c r="I102" i="9"/>
  <c r="E77" i="9"/>
  <c r="C91" i="9"/>
  <c r="D102" i="9"/>
  <c r="D57" i="9"/>
  <c r="I57" i="9"/>
  <c r="E102" i="9"/>
  <c r="E57" i="9"/>
  <c r="F102" i="9"/>
  <c r="C102" i="9"/>
  <c r="G102" i="9"/>
  <c r="D77" i="9"/>
  <c r="J77" i="9"/>
  <c r="C77" i="9"/>
  <c r="D27" i="9"/>
  <c r="H102" i="9"/>
  <c r="J91" i="9"/>
  <c r="L57" i="9"/>
  <c r="F77" i="9"/>
  <c r="K91" i="9"/>
  <c r="M57" i="9"/>
  <c r="F57" i="9"/>
  <c r="G57" i="9"/>
  <c r="G77" i="9"/>
  <c r="K77" i="9"/>
  <c r="K57" i="9"/>
  <c r="E91" i="9"/>
  <c r="H91" i="9"/>
  <c r="I91" i="9"/>
  <c r="C62" i="9"/>
  <c r="L91" i="9"/>
  <c r="H77" i="9"/>
  <c r="M91" i="9"/>
  <c r="J57" i="9"/>
  <c r="D91" i="9"/>
  <c r="L77" i="9"/>
  <c r="M77" i="9"/>
  <c r="F91" i="9"/>
  <c r="M62" i="9"/>
  <c r="G91" i="9"/>
  <c r="C57" i="9"/>
  <c r="H57" i="9"/>
  <c r="I77" i="9"/>
  <c r="H62" i="9"/>
  <c r="J27" i="9"/>
  <c r="L62" i="9"/>
  <c r="E62" i="9"/>
  <c r="E64" i="9" s="1"/>
  <c r="E66" i="9" s="1"/>
  <c r="I62" i="9"/>
  <c r="H6" i="9"/>
  <c r="I6" i="9"/>
  <c r="K62" i="9"/>
  <c r="K64" i="9" s="1"/>
  <c r="K66" i="9" s="1"/>
  <c r="F62" i="9"/>
  <c r="J62" i="9"/>
  <c r="G62" i="9"/>
  <c r="I21" i="9"/>
  <c r="M21" i="9"/>
  <c r="D21" i="9"/>
  <c r="K21" i="9"/>
  <c r="C27" i="9"/>
  <c r="K6" i="9"/>
  <c r="G6" i="9"/>
  <c r="E21" i="9"/>
  <c r="D62" i="9"/>
  <c r="J21" i="9"/>
  <c r="J6" i="9"/>
  <c r="C21" i="9"/>
  <c r="F21" i="9"/>
  <c r="G27" i="9"/>
  <c r="H27" i="9"/>
  <c r="I27" i="9"/>
  <c r="L6" i="9"/>
  <c r="G9" i="9"/>
  <c r="H9" i="9"/>
  <c r="C9" i="9"/>
  <c r="I9" i="9"/>
  <c r="K27" i="9"/>
  <c r="K9" i="9"/>
  <c r="L27" i="9"/>
  <c r="E15" i="9"/>
  <c r="L9" i="9"/>
  <c r="M27" i="9"/>
  <c r="G21" i="9"/>
  <c r="F11" i="9"/>
  <c r="F17" i="9" s="1"/>
  <c r="F23" i="9" s="1"/>
  <c r="J9" i="9"/>
  <c r="M15" i="9"/>
  <c r="H21" i="9"/>
  <c r="L15" i="9"/>
  <c r="G11" i="9"/>
  <c r="I11" i="9"/>
  <c r="J11" i="9"/>
  <c r="D9" i="9"/>
  <c r="J15" i="9"/>
  <c r="G15" i="9"/>
  <c r="H11" i="9"/>
  <c r="E9" i="9"/>
  <c r="L11" i="9"/>
  <c r="K15" i="9"/>
  <c r="D6" i="9"/>
  <c r="H15" i="9"/>
  <c r="L21" i="9"/>
  <c r="M6" i="9"/>
  <c r="F9" i="9"/>
  <c r="M11" i="9"/>
  <c r="F15" i="9"/>
  <c r="C15" i="9"/>
  <c r="C11" i="9"/>
  <c r="D15" i="9"/>
  <c r="E11" i="9"/>
  <c r="D11" i="9"/>
  <c r="I15" i="9"/>
  <c r="N37" i="11" l="1"/>
  <c r="O37" i="11"/>
  <c r="I64" i="9"/>
  <c r="I66" i="9" s="1"/>
  <c r="K17" i="9"/>
  <c r="K23" i="9" s="1"/>
  <c r="D64" i="9"/>
  <c r="D66" i="9" s="1"/>
  <c r="C64" i="9"/>
  <c r="C66" i="9" s="1"/>
  <c r="G104" i="9"/>
  <c r="D104" i="9"/>
  <c r="C104" i="9"/>
  <c r="H104" i="9"/>
  <c r="G64" i="9"/>
  <c r="G66" i="9" s="1"/>
  <c r="K104" i="9"/>
  <c r="J64" i="9"/>
  <c r="J66" i="9" s="1"/>
  <c r="I104" i="9"/>
  <c r="F64" i="9"/>
  <c r="F66" i="9" s="1"/>
  <c r="J104" i="9"/>
  <c r="M64" i="9"/>
  <c r="M66" i="9" s="1"/>
  <c r="E104" i="9"/>
  <c r="F104" i="9"/>
  <c r="L104" i="9"/>
  <c r="L64" i="9"/>
  <c r="L66" i="9" s="1"/>
  <c r="M104" i="9"/>
  <c r="H64" i="9"/>
  <c r="H66" i="9" s="1"/>
  <c r="F18" i="9"/>
  <c r="F29" i="9"/>
  <c r="F12" i="9"/>
  <c r="D17" i="9"/>
  <c r="D23" i="9" s="1"/>
  <c r="D12" i="9"/>
  <c r="E17" i="9"/>
  <c r="E12" i="9"/>
  <c r="J17" i="9"/>
  <c r="J23" i="9" s="1"/>
  <c r="J12" i="9"/>
  <c r="I17" i="9"/>
  <c r="I23" i="9" s="1"/>
  <c r="I12" i="9"/>
  <c r="L17" i="9"/>
  <c r="L12" i="9"/>
  <c r="G17" i="9"/>
  <c r="G12" i="9"/>
  <c r="H17" i="9"/>
  <c r="H23" i="9" s="1"/>
  <c r="H12" i="9"/>
  <c r="C17" i="9"/>
  <c r="C23" i="9" s="1"/>
  <c r="C12" i="9"/>
  <c r="C11" i="11" s="1"/>
  <c r="M17" i="9"/>
  <c r="M23" i="9" s="1"/>
  <c r="M12" i="9"/>
  <c r="G23" i="9" l="1"/>
  <c r="L23" i="9"/>
  <c r="E23" i="9"/>
  <c r="K18" i="9"/>
  <c r="K29" i="9"/>
  <c r="F35" i="9"/>
  <c r="F30" i="9"/>
  <c r="F33" i="9"/>
  <c r="G18" i="9"/>
  <c r="G29" i="9"/>
  <c r="L18" i="9"/>
  <c r="L29" i="9"/>
  <c r="M18" i="9"/>
  <c r="M29" i="9"/>
  <c r="I18" i="9"/>
  <c r="I29" i="9"/>
  <c r="C18" i="9"/>
  <c r="C29" i="9"/>
  <c r="J18" i="9"/>
  <c r="J29" i="9"/>
  <c r="E18" i="9"/>
  <c r="E29" i="9"/>
  <c r="H18" i="9"/>
  <c r="H29" i="9"/>
  <c r="D18" i="9"/>
  <c r="D29" i="9"/>
  <c r="K33" i="9" l="1"/>
  <c r="C13" i="11"/>
  <c r="C12" i="11"/>
  <c r="K30" i="9"/>
  <c r="K35" i="9"/>
  <c r="F39" i="9"/>
  <c r="F44" i="9" s="1"/>
  <c r="F36" i="9"/>
  <c r="J30" i="9"/>
  <c r="J33" i="9"/>
  <c r="J35" i="9"/>
  <c r="C33" i="9"/>
  <c r="C35" i="9"/>
  <c r="C30" i="9"/>
  <c r="D30" i="9"/>
  <c r="D35" i="9"/>
  <c r="D33" i="9"/>
  <c r="I30" i="9"/>
  <c r="I35" i="9"/>
  <c r="I33" i="9"/>
  <c r="H35" i="9"/>
  <c r="H33" i="9"/>
  <c r="H30" i="9"/>
  <c r="M33" i="9"/>
  <c r="M35" i="9"/>
  <c r="M30" i="9"/>
  <c r="E30" i="9"/>
  <c r="E35" i="9"/>
  <c r="E33" i="9"/>
  <c r="L30" i="9"/>
  <c r="L33" i="9"/>
  <c r="L35" i="9"/>
  <c r="G35" i="9"/>
  <c r="G30" i="9"/>
  <c r="G33" i="9"/>
  <c r="K39" i="9" l="1"/>
  <c r="K44" i="9" s="1"/>
  <c r="K36" i="9"/>
  <c r="L39" i="9"/>
  <c r="L44" i="9" s="1"/>
  <c r="L36" i="9"/>
  <c r="I36" i="9"/>
  <c r="I39" i="9"/>
  <c r="I44" i="9" s="1"/>
  <c r="E36" i="9"/>
  <c r="E39" i="9"/>
  <c r="E44" i="9" s="1"/>
  <c r="E23" i="11" s="1"/>
  <c r="E25" i="11" s="1"/>
  <c r="D36" i="9"/>
  <c r="D39" i="9"/>
  <c r="D44" i="9" s="1"/>
  <c r="M36" i="9"/>
  <c r="M39" i="9"/>
  <c r="M44" i="9" s="1"/>
  <c r="C39" i="9"/>
  <c r="C44" i="9" s="1"/>
  <c r="C36" i="9"/>
  <c r="G39" i="9"/>
  <c r="G44" i="9" s="1"/>
  <c r="G36" i="9"/>
  <c r="J39" i="9"/>
  <c r="J44" i="9" s="1"/>
  <c r="J36" i="9"/>
  <c r="H36" i="9"/>
  <c r="H39" i="9"/>
  <c r="H44" i="9" s="1"/>
</calcChain>
</file>

<file path=xl/sharedStrings.xml><?xml version="1.0" encoding="utf-8"?>
<sst xmlns="http://schemas.openxmlformats.org/spreadsheetml/2006/main" count="222" uniqueCount="154">
  <si>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</si>
  <si>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</si>
  <si>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</si>
  <si>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</si>
  <si>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</si>
  <si>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</si>
  <si>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</si>
  <si>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</si>
  <si>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</si>
  <si>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</si>
  <si>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</si>
  <si>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</si>
  <si>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</si>
  <si>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</si>
  <si>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</si>
  <si>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</si>
  <si>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</si>
  <si>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</si>
  <si>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</si>
  <si>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</si>
  <si>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</si>
  <si>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</si>
  <si>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</si>
  <si>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</si>
  <si>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</si>
  <si>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</si>
  <si>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</si>
  <si>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</si>
  <si>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</si>
  <si>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</si>
  <si>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LATEST VERSION</t>
  </si>
  <si>
    <t>CURRENT VERSION</t>
  </si>
  <si>
    <t>TATA MOTORS PASSENGER VEHICLES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</si>
  <si>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</si>
  <si>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</si>
  <si>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</si>
  <si>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</si>
  <si>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</si>
  <si>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</si>
  <si>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</si>
  <si>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</si>
  <si>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</si>
  <si>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</si>
  <si>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</si>
  <si>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</si>
  <si>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</si>
  <si>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</si>
  <si>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</si>
  <si>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</si>
  <si>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</si>
  <si>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</si>
  <si>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</si>
  <si>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</si>
  <si>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</si>
  <si>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</si>
  <si>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LTM</t>
  </si>
  <si>
    <t>#</t>
  </si>
  <si>
    <t>Income Statement</t>
  </si>
  <si>
    <t>Sales Growth</t>
  </si>
  <si>
    <t>-</t>
  </si>
  <si>
    <t>COGS</t>
  </si>
  <si>
    <t>Gross Margin</t>
  </si>
  <si>
    <t>COGS % Sales</t>
  </si>
  <si>
    <t>Selling And General Expenses</t>
  </si>
  <si>
    <t>S&amp;G Exp %</t>
  </si>
  <si>
    <t>EBITDA</t>
  </si>
  <si>
    <t>EBITDA % Sales</t>
  </si>
  <si>
    <t>Gross Margin % Sales</t>
  </si>
  <si>
    <t>Intrest</t>
  </si>
  <si>
    <t>Intrest % Sales</t>
  </si>
  <si>
    <t>Depreciation % Sales</t>
  </si>
  <si>
    <t>Earning Before Tax</t>
  </si>
  <si>
    <t>EBT % Sales</t>
  </si>
  <si>
    <t>Effective Tax Rate % EBT</t>
  </si>
  <si>
    <t xml:space="preserve">Net Profit </t>
  </si>
  <si>
    <t>Net Margin</t>
  </si>
  <si>
    <t>No. Equity Share Holders</t>
  </si>
  <si>
    <t>Earning per share</t>
  </si>
  <si>
    <t>Dividend Per Share</t>
  </si>
  <si>
    <t>Dividend Payout Ratio %</t>
  </si>
  <si>
    <t>Retained Earning</t>
  </si>
  <si>
    <t>Balance Sheet</t>
  </si>
  <si>
    <t>Equity Share Capitals</t>
  </si>
  <si>
    <t>Total Liabilities</t>
  </si>
  <si>
    <t>Total Non current Assests</t>
  </si>
  <si>
    <t>Total Assests</t>
  </si>
  <si>
    <t>Total Current Assests</t>
  </si>
  <si>
    <t>Check</t>
  </si>
  <si>
    <t>Cashflow Statements</t>
  </si>
  <si>
    <t>Cash from Operating Activity -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</si>
  <si>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</si>
  <si>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</si>
  <si>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</si>
  <si>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</si>
  <si>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</si>
  <si>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</si>
  <si>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</si>
  <si>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</si>
  <si>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</si>
  <si>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</si>
  <si>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</si>
  <si>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</si>
  <si>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</si>
  <si>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</si>
  <si>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</si>
  <si>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</si>
  <si>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Inter corporate deposits</t>
  </si>
  <si>
    <t>Other investing items</t>
  </si>
  <si>
    <t>Cash from Financing Activity -</t>
  </si>
  <si>
    <t>Proceeds from shares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</si>
  <si>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</si>
  <si>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</si>
  <si>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</si>
  <si>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</si>
  <si>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</si>
  <si>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</si>
  <si>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</si>
  <si>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Cash from Operating Activities</t>
  </si>
  <si>
    <t>Cash from Investing Activities</t>
  </si>
  <si>
    <t>Cash From Financing Activities</t>
  </si>
  <si>
    <t>EBITDA Growth</t>
  </si>
  <si>
    <t>EBIT Growth</t>
  </si>
  <si>
    <t>Net Profit Growth</t>
  </si>
  <si>
    <t>Dividend Growth</t>
  </si>
  <si>
    <t>EBITDA Margin</t>
  </si>
  <si>
    <t>Oprations Margin</t>
  </si>
  <si>
    <t>EBIT Margin</t>
  </si>
  <si>
    <t>Net Profit Margin</t>
  </si>
  <si>
    <t>EBT Margin</t>
  </si>
  <si>
    <t>Sales Expenses%Sales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</si>
  <si>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</si>
  <si>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</si>
  <si>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</si>
  <si>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</si>
  <si>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</si>
  <si>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 Rate</t>
  </si>
  <si>
    <t>Debtor Turnover Ratio</t>
  </si>
  <si>
    <t>Creditor Turnover Ratio</t>
  </si>
  <si>
    <t>Inventory Turnover</t>
  </si>
  <si>
    <t>Fixed Asset Turnover</t>
  </si>
  <si>
    <t>Capital Turnover Ratio</t>
  </si>
  <si>
    <t>Debtor Days</t>
  </si>
  <si>
    <t>Payable Days</t>
  </si>
  <si>
    <t>Inventory Days</t>
  </si>
  <si>
    <t>CFO/Sales</t>
  </si>
  <si>
    <t>CFO/Total Assets</t>
  </si>
  <si>
    <t>CFO/Total Debt</t>
  </si>
  <si>
    <t>EBIT</t>
  </si>
  <si>
    <t>EBIT % Sales</t>
  </si>
  <si>
    <t xml:space="preserve">  </t>
  </si>
  <si>
    <t>Cash Conversion Cycle</t>
  </si>
  <si>
    <t>Mean</t>
  </si>
  <si>
    <t>Median</t>
  </si>
  <si>
    <t>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</si>
</sst>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[$₹-439]#,##0.00;\-"/>
    <numFmt numFmtId="167" formatCode="[$₹-439]#,##0.00;[$₹-439]\-#,##0.00"/>
    <numFmt numFmtId="174" formatCode="0.00&quot;x&quot;"/>
    <numFmt numFmtId="175" formatCode="0&quot; days&quot;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4B4B4B"/>
      <name val="Calibri"/>
      <family val="2"/>
      <scheme val="minor"/>
    </font>
    <font>
      <b/>
      <sz val="11"/>
      <color theme="0"/>
      <name val="Cambria"/>
      <family val="1"/>
      <scheme val="major"/>
    </font>
    <font>
      <sz val="11"/>
      <color theme="1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rgb="FF002060"/>
      </top>
      <bottom/>
      <diagonal/>
    </border>
    <border>
      <left/>
      <right/>
      <top/>
      <bottom style="hair">
        <color rgb="FF002060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57">
    <xf numFmtId="0" fontId="0" fillId="0" borderId="0" xfId="0"/>
    <xf numFmtId="164" fontId="1" fillId="0" borderId="0" xfId="1" applyFont="1" applyBorder="1"/>
    <xf numFmtId="164" fontId="0" fillId="0" borderId="0" xfId="1" applyFont="1" applyBorder="1"/>
    <xf numFmtId="164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43" fontId="0" fillId="0" borderId="0" xfId="1" applyNumberFormat="1" applyFont="1" applyBorder="1"/>
    <xf numFmtId="0" fontId="2" fillId="4" borderId="0" xfId="0" applyFont="1" applyFill="1"/>
    <xf numFmtId="17" fontId="2" fillId="4" borderId="0" xfId="0" applyNumberFormat="1" applyFont="1" applyFill="1"/>
    <xf numFmtId="17" fontId="2" fillId="4" borderId="0" xfId="0" applyNumberFormat="1" applyFont="1" applyFill="1" applyAlignment="1">
      <alignment horizontal="right"/>
    </xf>
    <xf numFmtId="166" fontId="0" fillId="0" borderId="0" xfId="0" applyNumberFormat="1"/>
    <xf numFmtId="10" fontId="0" fillId="0" borderId="0" xfId="0" applyNumberFormat="1"/>
    <xf numFmtId="0" fontId="7" fillId="0" borderId="0" xfId="0" applyFont="1"/>
    <xf numFmtId="0" fontId="7" fillId="0" borderId="0" xfId="0" applyFont="1" applyAlignment="1">
      <alignment horizontal="right"/>
    </xf>
    <xf numFmtId="10" fontId="7" fillId="0" borderId="0" xfId="0" applyNumberFormat="1" applyFont="1"/>
    <xf numFmtId="10" fontId="7" fillId="0" borderId="0" xfId="0" applyNumberFormat="1" applyFont="1" applyAlignment="1">
      <alignment horizontal="right"/>
    </xf>
    <xf numFmtId="167" fontId="0" fillId="0" borderId="0" xfId="0" applyNumberFormat="1"/>
    <xf numFmtId="0" fontId="0" fillId="5" borderId="0" xfId="0" applyFill="1"/>
    <xf numFmtId="2" fontId="7" fillId="0" borderId="0" xfId="0" applyNumberFormat="1" applyFont="1"/>
    <xf numFmtId="164" fontId="1" fillId="0" borderId="0" xfId="1" applyFont="1" applyFill="1" applyBorder="1"/>
    <xf numFmtId="167" fontId="1" fillId="0" borderId="0" xfId="0" applyNumberFormat="1" applyFont="1"/>
    <xf numFmtId="17" fontId="0" fillId="0" borderId="0" xfId="0" applyNumberFormat="1"/>
    <xf numFmtId="3" fontId="0" fillId="0" borderId="0" xfId="0" applyNumberFormat="1"/>
    <xf numFmtId="0" fontId="1" fillId="0" borderId="0" xfId="0" applyFont="1"/>
    <xf numFmtId="166" fontId="6" fillId="0" borderId="0" xfId="0" applyNumberFormat="1" applyFont="1"/>
    <xf numFmtId="0" fontId="1" fillId="0" borderId="1" xfId="0" applyFont="1" applyBorder="1"/>
    <xf numFmtId="167" fontId="1" fillId="0" borderId="1" xfId="0" applyNumberFormat="1" applyFont="1" applyBorder="1"/>
    <xf numFmtId="164" fontId="1" fillId="0" borderId="1" xfId="1" applyFont="1" applyBorder="1"/>
    <xf numFmtId="164" fontId="1" fillId="0" borderId="1" xfId="1" applyFont="1" applyFill="1" applyBorder="1"/>
    <xf numFmtId="9" fontId="7" fillId="0" borderId="0" xfId="4" applyFont="1"/>
    <xf numFmtId="10" fontId="0" fillId="0" borderId="0" xfId="4" applyNumberFormat="1" applyFont="1"/>
    <xf numFmtId="0" fontId="2" fillId="4" borderId="0" xfId="0" applyFont="1" applyFill="1" applyAlignment="1">
      <alignment horizontal="center"/>
    </xf>
    <xf numFmtId="164" fontId="4" fillId="0" borderId="0" xfId="2" applyNumberFormat="1" applyBorder="1" applyAlignment="1" applyProtection="1">
      <alignment horizontal="center"/>
    </xf>
    <xf numFmtId="164" fontId="2" fillId="2" borderId="0" xfId="3" applyNumberFormat="1" applyFont="1" applyBorder="1" applyAlignment="1">
      <alignment horizontal="center"/>
    </xf>
    <xf numFmtId="0" fontId="0" fillId="0" borderId="0" xfId="0" applyBorder="1"/>
    <xf numFmtId="0" fontId="8" fillId="0" borderId="0" xfId="0" applyFont="1" applyFill="1"/>
    <xf numFmtId="17" fontId="8" fillId="0" borderId="0" xfId="0" applyNumberFormat="1" applyFont="1" applyFill="1"/>
    <xf numFmtId="0" fontId="9" fillId="0" borderId="0" xfId="0" applyFont="1" applyFill="1"/>
    <xf numFmtId="0" fontId="0" fillId="0" borderId="2" xfId="0" applyBorder="1"/>
    <xf numFmtId="10" fontId="0" fillId="0" borderId="2" xfId="4" applyNumberFormat="1" applyFont="1" applyBorder="1" applyAlignment="1">
      <alignment horizontal="right"/>
    </xf>
    <xf numFmtId="10" fontId="0" fillId="0" borderId="0" xfId="4" applyNumberFormat="1" applyFont="1" applyBorder="1" applyAlignment="1">
      <alignment horizontal="right"/>
    </xf>
    <xf numFmtId="0" fontId="0" fillId="0" borderId="3" xfId="0" applyBorder="1"/>
    <xf numFmtId="10" fontId="0" fillId="0" borderId="3" xfId="4" applyNumberFormat="1" applyFont="1" applyBorder="1" applyAlignment="1">
      <alignment horizontal="right"/>
    </xf>
    <xf numFmtId="10" fontId="0" fillId="0" borderId="2" xfId="4" applyNumberFormat="1" applyFont="1" applyBorder="1"/>
    <xf numFmtId="10" fontId="0" fillId="0" borderId="0" xfId="4" applyNumberFormat="1" applyFont="1" applyBorder="1"/>
    <xf numFmtId="10" fontId="0" fillId="0" borderId="3" xfId="4" applyNumberFormat="1" applyFont="1" applyBorder="1"/>
    <xf numFmtId="10" fontId="0" fillId="0" borderId="0" xfId="0" applyNumberFormat="1" applyBorder="1"/>
    <xf numFmtId="174" fontId="0" fillId="0" borderId="3" xfId="0" applyNumberFormat="1" applyBorder="1"/>
    <xf numFmtId="0" fontId="0" fillId="0" borderId="2" xfId="0" applyBorder="1" applyAlignment="1">
      <alignment wrapText="1"/>
    </xf>
    <xf numFmtId="174" fontId="0" fillId="0" borderId="2" xfId="0" applyNumberFormat="1" applyBorder="1"/>
    <xf numFmtId="174" fontId="0" fillId="0" borderId="0" xfId="0" applyNumberFormat="1" applyBorder="1"/>
    <xf numFmtId="175" fontId="0" fillId="0" borderId="2" xfId="0" applyNumberFormat="1" applyBorder="1"/>
    <xf numFmtId="175" fontId="0" fillId="0" borderId="0" xfId="0" applyNumberFormat="1" applyBorder="1"/>
    <xf numFmtId="175" fontId="0" fillId="0" borderId="3" xfId="0" applyNumberFormat="1" applyBorder="1"/>
    <xf numFmtId="0" fontId="0" fillId="0" borderId="0" xfId="0" applyFont="1"/>
    <xf numFmtId="0" fontId="0" fillId="6" borderId="0" xfId="0" applyFont="1" applyFill="1"/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EFD5BF2-0ADE-4FE2-874B-0AF1F9125449}">
  <we:reference id="wa200009404" version="1.0.0.5" store="en-US" storeType="OMEX"/>
  <we:alternateReferences>
    <we:reference id="wa200009404" version="1.0.0.5" store="wa200009404" storeType="OMEX"/>
  </we:alternateReferences>
  <we:properties/>
  <we:bindings/>
  <we:snapshot xmlns:r="http://schemas.openxmlformats.org/officeDocument/2006/relationships"/>
</we:webextension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6A19B-CB8A-43AF-BBE5-77A258EB9F20}">
  <sheetPr>
    <tabColor theme="7" tint="-0.499984740745262"/>
  </sheetPr>
  <dimension ref="A2:N104"/>
  <sheetViews>
    <sheetView showGridLines="0" topLeftCell="A38" zoomScale="118" workbookViewId="0">
      <selection activeCell="C60" sqref="C60"/>
    </sheetView>
  </sheetViews>
  <sheetFormatPr defaultRowHeight="14.4" x14ac:dyDescent="0.3"/>
  <cols>
    <col min="1" max="1" width="1.88671875" customWidth="1"/>
    <col min="2" max="2" width="26.77734375" bestFit="1" customWidth="1"/>
    <col min="3" max="3" width="12" bestFit="1" customWidth="1"/>
    <col min="4" max="13" width="12.77734375" customWidth="1"/>
  </cols>
  <sheetData>
    <row r="2" spans="1:14" x14ac:dyDescent="0.3">
      <c r="B2" s="32" t="str">
        <f>"Historical Financial Statements - "&amp;'Data Sheet'!B1</f>
        <v>Historical Financial Statements - TATA MOTORS PASSENGER VEHICLES LTD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1:14" x14ac:dyDescent="0.3">
      <c r="B3" s="8" t="s">
        <v>54</v>
      </c>
      <c r="C3" s="9">
        <f>'Data Sheet'!B16</f>
        <v>42460</v>
      </c>
      <c r="D3" s="9">
        <f>'Data Sheet'!C16</f>
        <v>42825</v>
      </c>
      <c r="E3" s="9">
        <f>'Data Sheet'!D16</f>
        <v>43190</v>
      </c>
      <c r="F3" s="9">
        <f>'Data Sheet'!E16</f>
        <v>43555</v>
      </c>
      <c r="G3" s="9">
        <f>'Data Sheet'!F16</f>
        <v>43921</v>
      </c>
      <c r="H3" s="9">
        <f>'Data Sheet'!G16</f>
        <v>44286</v>
      </c>
      <c r="I3" s="9">
        <f>'Data Sheet'!H16</f>
        <v>44651</v>
      </c>
      <c r="J3" s="9">
        <f>'Data Sheet'!I16</f>
        <v>45016</v>
      </c>
      <c r="K3" s="9">
        <f>'Data Sheet'!J16</f>
        <v>45382</v>
      </c>
      <c r="L3" s="9">
        <f>'Data Sheet'!K16</f>
        <v>45747</v>
      </c>
      <c r="M3" s="10" t="s">
        <v>55</v>
      </c>
    </row>
    <row r="4" spans="1:14" x14ac:dyDescent="0.3">
      <c r="A4" t="s">
        <v>56</v>
      </c>
      <c r="B4" s="18" t="s">
        <v>57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4" x14ac:dyDescent="0.3">
      <c r="B5" t="s">
        <v>1</v>
      </c>
      <c r="C5" s="11">
        <f>IFERROR('Data Sheet'!B17,0)</f>
        <v>273045.59999999998</v>
      </c>
      <c r="D5" s="11">
        <f>IFERROR('Data Sheet'!C17,0)</f>
        <v>269692.51</v>
      </c>
      <c r="E5" s="11">
        <f>IFERROR('Data Sheet'!D17,0)</f>
        <v>291550.48</v>
      </c>
      <c r="F5" s="11">
        <f>IFERROR('Data Sheet'!E17,0)</f>
        <v>301938.40000000002</v>
      </c>
      <c r="G5" s="11">
        <f>IFERROR('Data Sheet'!F17,0)</f>
        <v>261067.97</v>
      </c>
      <c r="H5" s="11">
        <f>IFERROR('Data Sheet'!G17,0)</f>
        <v>249794.75</v>
      </c>
      <c r="I5" s="11">
        <f>IFERROR('Data Sheet'!H17,0)</f>
        <v>278453.62</v>
      </c>
      <c r="J5" s="11">
        <f>IFERROR('Data Sheet'!I17,0)</f>
        <v>345966.97</v>
      </c>
      <c r="K5" s="11">
        <f>IFERROR('Data Sheet'!J17,0)</f>
        <v>434016</v>
      </c>
      <c r="L5" s="11">
        <f>IFERROR('Data Sheet'!K17,0)</f>
        <v>439695</v>
      </c>
      <c r="M5" s="11">
        <f>IFERROR(SUM('Data Sheet'!H42:K42),0)</f>
        <v>437968</v>
      </c>
    </row>
    <row r="6" spans="1:14" x14ac:dyDescent="0.3">
      <c r="B6" s="13" t="s">
        <v>58</v>
      </c>
      <c r="C6" s="14" t="s">
        <v>59</v>
      </c>
      <c r="D6" s="15">
        <f>D5/C5-1</f>
        <v>-1.2280329732469508E-2</v>
      </c>
      <c r="E6" s="15">
        <f t="shared" ref="E6:L6" si="0">E5/D5-1</f>
        <v>8.104774581985974E-2</v>
      </c>
      <c r="F6" s="15">
        <f t="shared" si="0"/>
        <v>3.5629919045237157E-2</v>
      </c>
      <c r="G6" s="15">
        <f t="shared" si="0"/>
        <v>-0.135360159555724</v>
      </c>
      <c r="H6" s="15">
        <f t="shared" si="0"/>
        <v>-4.3181168490336042E-2</v>
      </c>
      <c r="I6" s="15">
        <f t="shared" si="0"/>
        <v>0.11472967306158344</v>
      </c>
      <c r="J6" s="15">
        <f t="shared" si="0"/>
        <v>0.24245815155859707</v>
      </c>
      <c r="K6" s="15">
        <f t="shared" si="0"/>
        <v>0.25450126062612277</v>
      </c>
      <c r="L6" s="15">
        <f t="shared" si="0"/>
        <v>1.3084771068347711E-2</v>
      </c>
      <c r="M6" s="15">
        <f>M5/L5-1</f>
        <v>-3.9277226259111231E-3</v>
      </c>
    </row>
    <row r="8" spans="1:14" x14ac:dyDescent="0.3">
      <c r="B8" t="s">
        <v>60</v>
      </c>
      <c r="C8" s="11">
        <f>IFERROR(SUM('Data Sheet'!B18,'Data Sheet'!B20:B22)-1*'Data Sheet'!B19,0)</f>
        <v>205509.07</v>
      </c>
      <c r="D8" s="11">
        <f>IFERROR(SUM('Data Sheet'!C18,'Data Sheet'!C20:C22)-1*'Data Sheet'!C19,0)</f>
        <v>205454.23999999996</v>
      </c>
      <c r="E8" s="11">
        <f>IFERROR(SUM('Data Sheet'!D18,'Data Sheet'!D20:D22)-1*'Data Sheet'!D19,0)</f>
        <v>228429.83</v>
      </c>
      <c r="F8" s="25">
        <f>IFERROR(SUM('Data Sheet'!E18,'Data Sheet'!E20:E22)-1*'Data Sheet'!E19,0)</f>
        <v>242845.53</v>
      </c>
      <c r="G8" s="11">
        <f>IFERROR(SUM('Data Sheet'!F18,'Data Sheet'!F20:F22)-1*'Data Sheet'!F19,0)</f>
        <v>210376.07000000004</v>
      </c>
      <c r="H8" s="11">
        <f>IFERROR(SUM('Data Sheet'!G18,'Data Sheet'!G20:G22)-1*'Data Sheet'!G19,0)</f>
        <v>195326.04</v>
      </c>
      <c r="I8" s="11">
        <f>IFERROR(SUM('Data Sheet'!H18,'Data Sheet'!H20:H22)-1*'Data Sheet'!H19,0)</f>
        <v>223300.00999999998</v>
      </c>
      <c r="J8" s="11">
        <f>IFERROR(SUM('Data Sheet'!I18,'Data Sheet'!I20:I22)-1*'Data Sheet'!I19,0)</f>
        <v>274403.64</v>
      </c>
      <c r="K8" s="11">
        <f>IFERROR(SUM('Data Sheet'!J18,'Data Sheet'!J20:J22)-1*'Data Sheet'!J19,0)</f>
        <v>334380</v>
      </c>
      <c r="L8" s="11">
        <f>IFERROR(SUM('Data Sheet'!K18,'Data Sheet'!K20:K22)-1*'Data Sheet'!K19,0)</f>
        <v>340809</v>
      </c>
      <c r="M8" s="11">
        <f>IFERROR(SUM('Data Sheet'!H43:K43),0)</f>
        <v>386344</v>
      </c>
    </row>
    <row r="9" spans="1:14" x14ac:dyDescent="0.3">
      <c r="B9" s="15" t="s">
        <v>62</v>
      </c>
      <c r="C9" s="15">
        <f>C8/C5-1</f>
        <v>-0.24734524196690943</v>
      </c>
      <c r="D9" s="15">
        <f t="shared" ref="D9:L9" si="1">D8/D5-1</f>
        <v>-0.23819078253229964</v>
      </c>
      <c r="E9" s="15">
        <f t="shared" si="1"/>
        <v>-0.21649990080619996</v>
      </c>
      <c r="F9" s="15">
        <f t="shared" si="1"/>
        <v>-0.19571167496416497</v>
      </c>
      <c r="G9" s="15">
        <f t="shared" si="1"/>
        <v>-0.19417127271491774</v>
      </c>
      <c r="H9" s="15">
        <f t="shared" si="1"/>
        <v>-0.2180538622208833</v>
      </c>
      <c r="I9" s="15">
        <f t="shared" si="1"/>
        <v>-0.19807108271747376</v>
      </c>
      <c r="J9" s="15">
        <f t="shared" si="1"/>
        <v>-0.20685017994636878</v>
      </c>
      <c r="K9" s="15">
        <f t="shared" si="1"/>
        <v>-0.2295675735456757</v>
      </c>
      <c r="L9" s="15">
        <f t="shared" si="1"/>
        <v>-0.22489680346603891</v>
      </c>
      <c r="M9" s="16" t="s">
        <v>59</v>
      </c>
    </row>
    <row r="11" spans="1:14" x14ac:dyDescent="0.3">
      <c r="B11" s="26" t="s">
        <v>61</v>
      </c>
      <c r="C11" s="27">
        <f>C5-C8</f>
        <v>67536.52999999997</v>
      </c>
      <c r="D11" s="27">
        <f t="shared" ref="D11:M11" si="2">D5-D8</f>
        <v>64238.270000000048</v>
      </c>
      <c r="E11" s="27">
        <f t="shared" si="2"/>
        <v>63120.649999999994</v>
      </c>
      <c r="F11" s="27">
        <f t="shared" si="2"/>
        <v>59092.870000000024</v>
      </c>
      <c r="G11" s="27">
        <f t="shared" si="2"/>
        <v>50691.899999999965</v>
      </c>
      <c r="H11" s="27">
        <f t="shared" si="2"/>
        <v>54468.709999999992</v>
      </c>
      <c r="I11" s="27">
        <f t="shared" si="2"/>
        <v>55153.610000000015</v>
      </c>
      <c r="J11" s="27">
        <f t="shared" si="2"/>
        <v>71563.329999999958</v>
      </c>
      <c r="K11" s="27">
        <f t="shared" si="2"/>
        <v>99636</v>
      </c>
      <c r="L11" s="27">
        <f t="shared" si="2"/>
        <v>98886</v>
      </c>
      <c r="M11" s="27">
        <f t="shared" si="2"/>
        <v>51624</v>
      </c>
    </row>
    <row r="12" spans="1:14" x14ac:dyDescent="0.3">
      <c r="B12" s="15" t="s">
        <v>67</v>
      </c>
      <c r="C12" s="15">
        <f>C11/C5</f>
        <v>0.24734524196690946</v>
      </c>
      <c r="D12" s="15">
        <f t="shared" ref="D12:M12" si="3">D11/D5</f>
        <v>0.23819078253229964</v>
      </c>
      <c r="E12" s="15">
        <f t="shared" si="3"/>
        <v>0.21649990080619999</v>
      </c>
      <c r="F12" s="15">
        <f t="shared" si="3"/>
        <v>0.19571167496416494</v>
      </c>
      <c r="G12" s="15">
        <f t="shared" si="3"/>
        <v>0.19417127271491774</v>
      </c>
      <c r="H12" s="15">
        <f t="shared" si="3"/>
        <v>0.2180538622208833</v>
      </c>
      <c r="I12" s="15">
        <f t="shared" si="3"/>
        <v>0.19807108271747378</v>
      </c>
      <c r="J12" s="15">
        <f t="shared" si="3"/>
        <v>0.20685017994636876</v>
      </c>
      <c r="K12" s="15">
        <f t="shared" si="3"/>
        <v>0.22956757354567572</v>
      </c>
      <c r="L12" s="15">
        <f t="shared" si="3"/>
        <v>0.22489680346603896</v>
      </c>
      <c r="M12" s="15">
        <f t="shared" si="3"/>
        <v>0.1178716253242246</v>
      </c>
    </row>
    <row r="14" spans="1:14" x14ac:dyDescent="0.3">
      <c r="B14" t="s">
        <v>63</v>
      </c>
      <c r="C14" s="17">
        <f>IFERROR(SUM('Data Sheet'!B23:B24),0)</f>
        <v>29141.280000000002</v>
      </c>
      <c r="D14" s="17">
        <f>IFERROR(SUM('Data Sheet'!C23:C24),0)</f>
        <v>34649.58</v>
      </c>
      <c r="E14" s="17">
        <f>IFERROR(SUM('Data Sheet'!D23:D24),0)</f>
        <v>31662.97</v>
      </c>
      <c r="F14" s="17">
        <f>IFERROR(SUM('Data Sheet'!E23:E24),0)</f>
        <v>34428.54</v>
      </c>
      <c r="G14" s="17">
        <f>IFERROR(SUM('Data Sheet'!F23:F24),0)</f>
        <v>32704.83</v>
      </c>
      <c r="H14" s="17">
        <f>IFERROR(SUM('Data Sheet'!G23:G24),0)</f>
        <v>22181.280000000002</v>
      </c>
      <c r="I14" s="17">
        <f>IFERROR(SUM('Data Sheet'!H23:H24),0)</f>
        <v>30433.52</v>
      </c>
      <c r="J14" s="17">
        <f>IFERROR(SUM('Data Sheet'!I23:I24),0)</f>
        <v>39747.53</v>
      </c>
      <c r="K14" s="17">
        <f>IFERROR(SUM('Data Sheet'!J23:J24),0)</f>
        <v>41812</v>
      </c>
      <c r="L14" s="17">
        <f>IFERROR(SUM('Data Sheet'!K23:K24),0)</f>
        <v>43670</v>
      </c>
      <c r="M14" s="17">
        <f>IFERROR(SUM('Data Sheet'!L23:L24),0)</f>
        <v>0</v>
      </c>
    </row>
    <row r="15" spans="1:14" x14ac:dyDescent="0.3">
      <c r="B15" s="15" t="s">
        <v>64</v>
      </c>
      <c r="C15" s="15">
        <f>C14/C5</f>
        <v>0.10672678849247161</v>
      </c>
      <c r="D15" s="15">
        <f t="shared" ref="D15:M15" si="4">D14/D5</f>
        <v>0.12847809529452636</v>
      </c>
      <c r="E15" s="15">
        <f t="shared" si="4"/>
        <v>0.10860201636437025</v>
      </c>
      <c r="F15" s="15">
        <f t="shared" si="4"/>
        <v>0.11402504616835751</v>
      </c>
      <c r="G15" s="15">
        <f t="shared" si="4"/>
        <v>0.12527323822987554</v>
      </c>
      <c r="H15" s="15">
        <f t="shared" si="4"/>
        <v>8.8798023177028354E-2</v>
      </c>
      <c r="I15" s="15">
        <f t="shared" si="4"/>
        <v>0.10929475436519734</v>
      </c>
      <c r="J15" s="15">
        <f t="shared" si="4"/>
        <v>0.11488822184383672</v>
      </c>
      <c r="K15" s="15">
        <f t="shared" si="4"/>
        <v>9.6337462213374622E-2</v>
      </c>
      <c r="L15" s="15">
        <f t="shared" si="4"/>
        <v>9.9318846018262658E-2</v>
      </c>
      <c r="M15" s="15">
        <f t="shared" si="4"/>
        <v>0</v>
      </c>
      <c r="N15" s="24"/>
    </row>
    <row r="17" spans="2:13" x14ac:dyDescent="0.3">
      <c r="B17" s="26" t="s">
        <v>65</v>
      </c>
      <c r="C17" s="27">
        <f>C11-C14</f>
        <v>38395.249999999971</v>
      </c>
      <c r="D17" s="27">
        <f t="shared" ref="D17:M17" si="5">D11-D14</f>
        <v>29588.690000000046</v>
      </c>
      <c r="E17" s="27">
        <f t="shared" si="5"/>
        <v>31457.679999999993</v>
      </c>
      <c r="F17" s="27">
        <f t="shared" si="5"/>
        <v>24664.330000000024</v>
      </c>
      <c r="G17" s="27">
        <f t="shared" si="5"/>
        <v>17987.069999999963</v>
      </c>
      <c r="H17" s="27">
        <f t="shared" si="5"/>
        <v>32287.429999999989</v>
      </c>
      <c r="I17" s="27">
        <f t="shared" si="5"/>
        <v>24720.090000000015</v>
      </c>
      <c r="J17" s="27">
        <f t="shared" si="5"/>
        <v>31815.799999999959</v>
      </c>
      <c r="K17" s="27">
        <f t="shared" si="5"/>
        <v>57824</v>
      </c>
      <c r="L17" s="27">
        <f t="shared" si="5"/>
        <v>55216</v>
      </c>
      <c r="M17" s="27">
        <f t="shared" si="5"/>
        <v>51624</v>
      </c>
    </row>
    <row r="18" spans="2:13" x14ac:dyDescent="0.3">
      <c r="B18" s="15" t="s">
        <v>66</v>
      </c>
      <c r="C18" s="15">
        <f>C17/C5</f>
        <v>0.14061845347443788</v>
      </c>
      <c r="D18" s="15">
        <f t="shared" ref="D18:M18" si="6">D17/D5</f>
        <v>0.10971268723777329</v>
      </c>
      <c r="E18" s="15">
        <f t="shared" si="6"/>
        <v>0.10789788444182975</v>
      </c>
      <c r="F18" s="15">
        <f t="shared" si="6"/>
        <v>8.1686628795807431E-2</v>
      </c>
      <c r="G18" s="15">
        <f t="shared" si="6"/>
        <v>6.8898034485042198E-2</v>
      </c>
      <c r="H18" s="15">
        <f t="shared" si="6"/>
        <v>0.12925583904385496</v>
      </c>
      <c r="I18" s="15">
        <f t="shared" si="6"/>
        <v>8.877632835227646E-2</v>
      </c>
      <c r="J18" s="15">
        <f t="shared" si="6"/>
        <v>9.1961958102532049E-2</v>
      </c>
      <c r="K18" s="15">
        <f t="shared" si="6"/>
        <v>0.13323011133230112</v>
      </c>
      <c r="L18" s="15">
        <f t="shared" si="6"/>
        <v>0.12557795744777631</v>
      </c>
      <c r="M18" s="15">
        <f t="shared" si="6"/>
        <v>0.1178716253242246</v>
      </c>
    </row>
    <row r="20" spans="2:13" x14ac:dyDescent="0.3">
      <c r="B20" t="s">
        <v>5</v>
      </c>
      <c r="C20" s="17">
        <f>IFERROR('Data Sheet'!B26,0)</f>
        <v>16710.78</v>
      </c>
      <c r="D20" s="17">
        <f>IFERROR(SUM('Data Sheet'!C26),0)</f>
        <v>17904.990000000002</v>
      </c>
      <c r="E20" s="17">
        <f>IFERROR(SUM('Data Sheet'!D26),0)</f>
        <v>21553.59</v>
      </c>
      <c r="F20" s="17">
        <f>IFERROR(SUM('Data Sheet'!E26),0)</f>
        <v>23590.63</v>
      </c>
      <c r="G20" s="17">
        <f>IFERROR(SUM('Data Sheet'!F26),0)</f>
        <v>21425.43</v>
      </c>
      <c r="H20" s="17">
        <f>IFERROR(SUM('Data Sheet'!G26),0)</f>
        <v>23546.71</v>
      </c>
      <c r="I20" s="17">
        <f>IFERROR(SUM('Data Sheet'!H26),0)</f>
        <v>24835.69</v>
      </c>
      <c r="J20" s="17">
        <f>IFERROR(SUM('Data Sheet'!I26),0)</f>
        <v>24860.36</v>
      </c>
      <c r="K20" s="17">
        <f>IFERROR(SUM('Data Sheet'!J26),0)</f>
        <v>27239</v>
      </c>
      <c r="L20" s="17">
        <f>IFERROR(SUM('Data Sheet'!K26),0)</f>
        <v>23256</v>
      </c>
      <c r="M20" s="17">
        <f>IFERROR(SUM('Data Sheet'!L26),0)</f>
        <v>0</v>
      </c>
    </row>
    <row r="21" spans="2:13" x14ac:dyDescent="0.3">
      <c r="B21" s="15" t="s">
        <v>70</v>
      </c>
      <c r="C21" s="15">
        <f t="shared" ref="C21:M21" si="7">C20/C5</f>
        <v>6.1201425695927715E-2</v>
      </c>
      <c r="D21" s="15">
        <f t="shared" si="7"/>
        <v>6.63903865924938E-2</v>
      </c>
      <c r="E21" s="15">
        <f t="shared" si="7"/>
        <v>7.3927472182518786E-2</v>
      </c>
      <c r="F21" s="15">
        <f t="shared" si="7"/>
        <v>7.8130605447998658E-2</v>
      </c>
      <c r="G21" s="15">
        <f t="shared" si="7"/>
        <v>8.206839774331566E-2</v>
      </c>
      <c r="H21" s="15">
        <f t="shared" si="7"/>
        <v>9.4264230933596482E-2</v>
      </c>
      <c r="I21" s="15">
        <f t="shared" si="7"/>
        <v>8.9191478279219347E-2</v>
      </c>
      <c r="J21" s="15">
        <f t="shared" si="7"/>
        <v>7.1857611147098821E-2</v>
      </c>
      <c r="K21" s="15">
        <f t="shared" si="7"/>
        <v>6.2760359065103591E-2</v>
      </c>
      <c r="L21" s="15">
        <f t="shared" si="7"/>
        <v>5.2891208678743216E-2</v>
      </c>
      <c r="M21" s="15">
        <f t="shared" si="7"/>
        <v>0</v>
      </c>
    </row>
    <row r="22" spans="2:13" x14ac:dyDescent="0.3"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</row>
    <row r="23" spans="2:13" x14ac:dyDescent="0.3">
      <c r="B23" s="15" t="s">
        <v>147</v>
      </c>
      <c r="C23" s="19">
        <f>IFERROR(C17-C20,0)</f>
        <v>21684.469999999972</v>
      </c>
      <c r="D23" s="19">
        <f t="shared" ref="D23:M23" si="8">IFERROR(D17-D20,0)</f>
        <v>11683.700000000044</v>
      </c>
      <c r="E23" s="19">
        <f t="shared" si="8"/>
        <v>9904.0899999999929</v>
      </c>
      <c r="F23" s="19">
        <f t="shared" si="8"/>
        <v>1073.7000000000226</v>
      </c>
      <c r="G23" s="19">
        <f t="shared" si="8"/>
        <v>-3438.360000000037</v>
      </c>
      <c r="H23" s="19">
        <f t="shared" si="8"/>
        <v>8740.7199999999903</v>
      </c>
      <c r="I23" s="19">
        <f t="shared" si="8"/>
        <v>-115.59999999998399</v>
      </c>
      <c r="J23" s="19">
        <f t="shared" si="8"/>
        <v>6955.4399999999587</v>
      </c>
      <c r="K23" s="19">
        <f t="shared" si="8"/>
        <v>30585</v>
      </c>
      <c r="L23" s="19">
        <f t="shared" si="8"/>
        <v>31960</v>
      </c>
      <c r="M23" s="19">
        <f t="shared" si="8"/>
        <v>51624</v>
      </c>
    </row>
    <row r="24" spans="2:13" x14ac:dyDescent="0.3">
      <c r="B24" s="15" t="s">
        <v>148</v>
      </c>
      <c r="C24" s="30">
        <f>IFERROR(C23/C5,0)</f>
        <v>7.941702777851016E-2</v>
      </c>
      <c r="D24" s="30">
        <f t="shared" ref="D24:M24" si="9">IFERROR(D23/D5,0)</f>
        <v>4.3322300645279484E-2</v>
      </c>
      <c r="E24" s="30">
        <f t="shared" si="9"/>
        <v>3.3970412259310953E-2</v>
      </c>
      <c r="F24" s="30">
        <f t="shared" si="9"/>
        <v>3.5560233478087663E-3</v>
      </c>
      <c r="G24" s="30">
        <f t="shared" si="9"/>
        <v>-1.3170363258273456E-2</v>
      </c>
      <c r="H24" s="30">
        <f t="shared" si="9"/>
        <v>3.4991608110258483E-2</v>
      </c>
      <c r="I24" s="30">
        <f t="shared" si="9"/>
        <v>-4.1514992694289269E-4</v>
      </c>
      <c r="J24" s="30">
        <f t="shared" si="9"/>
        <v>2.0104346955433228E-2</v>
      </c>
      <c r="K24" s="30">
        <f t="shared" si="9"/>
        <v>7.0469752267197525E-2</v>
      </c>
      <c r="L24" s="30">
        <f t="shared" si="9"/>
        <v>7.2686748769033083E-2</v>
      </c>
      <c r="M24" s="30">
        <f t="shared" si="9"/>
        <v>0.1178716253242246</v>
      </c>
    </row>
    <row r="25" spans="2:13" x14ac:dyDescent="0.3">
      <c r="B25" s="15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</row>
    <row r="26" spans="2:13" x14ac:dyDescent="0.3">
      <c r="B26" t="s">
        <v>68</v>
      </c>
      <c r="C26" s="17">
        <f>IFERROR(SUM('Data Sheet'!B27),0)</f>
        <v>4889.08</v>
      </c>
      <c r="D26" s="17">
        <f>IFERROR(SUM('Data Sheet'!C27),0)</f>
        <v>4238.01</v>
      </c>
      <c r="E26" s="17">
        <f>IFERROR(SUM('Data Sheet'!D27),0)</f>
        <v>4681.79</v>
      </c>
      <c r="F26" s="17">
        <f>IFERROR(SUM('Data Sheet'!E27),0)</f>
        <v>5758.6</v>
      </c>
      <c r="G26" s="17">
        <f>IFERROR(SUM('Data Sheet'!F27),0)</f>
        <v>7243.33</v>
      </c>
      <c r="H26" s="17">
        <f>IFERROR(SUM('Data Sheet'!G27),0)</f>
        <v>8097.17</v>
      </c>
      <c r="I26" s="17">
        <f>IFERROR(SUM('Data Sheet'!H27),0)</f>
        <v>9311.86</v>
      </c>
      <c r="J26" s="17">
        <f>IFERROR(SUM('Data Sheet'!I27),0)</f>
        <v>10225.48</v>
      </c>
      <c r="K26" s="17">
        <f>IFERROR(SUM('Data Sheet'!J27),0)</f>
        <v>7594</v>
      </c>
      <c r="L26" s="17">
        <f>IFERROR(SUM('Data Sheet'!K27),0)</f>
        <v>5083</v>
      </c>
      <c r="M26" s="17">
        <f>IFERROR(SUM('Data Sheet'!L27),0)</f>
        <v>0</v>
      </c>
    </row>
    <row r="27" spans="2:13" x14ac:dyDescent="0.3">
      <c r="B27" s="15" t="s">
        <v>69</v>
      </c>
      <c r="C27" s="15">
        <f t="shared" ref="C27:M27" si="10">C26/C5</f>
        <v>1.7905727101993223E-2</v>
      </c>
      <c r="D27" s="15">
        <f t="shared" si="10"/>
        <v>1.5714229512714312E-2</v>
      </c>
      <c r="E27" s="15">
        <f t="shared" si="10"/>
        <v>1.605824830060304E-2</v>
      </c>
      <c r="F27" s="15">
        <f t="shared" si="10"/>
        <v>1.9072102124141878E-2</v>
      </c>
      <c r="G27" s="15">
        <f t="shared" si="10"/>
        <v>2.7744996829752802E-2</v>
      </c>
      <c r="H27" s="15">
        <f t="shared" si="10"/>
        <v>3.2415292955516477E-2</v>
      </c>
      <c r="I27" s="15">
        <f t="shared" si="10"/>
        <v>3.3441332168710897E-2</v>
      </c>
      <c r="J27" s="15">
        <f t="shared" si="10"/>
        <v>2.9556231914277829E-2</v>
      </c>
      <c r="K27" s="15">
        <f t="shared" si="10"/>
        <v>1.7497050799970507E-2</v>
      </c>
      <c r="L27" s="15">
        <f t="shared" si="10"/>
        <v>1.1560286107415368E-2</v>
      </c>
      <c r="M27" s="15">
        <f t="shared" si="10"/>
        <v>0</v>
      </c>
    </row>
    <row r="29" spans="2:13" x14ac:dyDescent="0.3">
      <c r="B29" s="26" t="s">
        <v>71</v>
      </c>
      <c r="C29" s="27">
        <f t="shared" ref="C29:M29" si="11">C17-(C26+C20)</f>
        <v>16795.38999999997</v>
      </c>
      <c r="D29" s="27">
        <f t="shared" si="11"/>
        <v>7445.690000000046</v>
      </c>
      <c r="E29" s="27">
        <f t="shared" si="11"/>
        <v>5222.299999999992</v>
      </c>
      <c r="F29" s="27">
        <f t="shared" si="11"/>
        <v>-4684.8999999999796</v>
      </c>
      <c r="G29" s="27">
        <f t="shared" si="11"/>
        <v>-10681.690000000039</v>
      </c>
      <c r="H29" s="27">
        <f t="shared" si="11"/>
        <v>643.549999999992</v>
      </c>
      <c r="I29" s="27">
        <f t="shared" si="11"/>
        <v>-9427.4599999999882</v>
      </c>
      <c r="J29" s="27">
        <f t="shared" si="11"/>
        <v>-3270.0400000000373</v>
      </c>
      <c r="K29" s="27">
        <f t="shared" si="11"/>
        <v>22991</v>
      </c>
      <c r="L29" s="27">
        <f t="shared" si="11"/>
        <v>26877</v>
      </c>
      <c r="M29" s="27">
        <f t="shared" si="11"/>
        <v>51624</v>
      </c>
    </row>
    <row r="30" spans="2:13" x14ac:dyDescent="0.3">
      <c r="B30" s="15" t="s">
        <v>72</v>
      </c>
      <c r="C30" s="15">
        <f t="shared" ref="C30:M30" si="12">C29/C5</f>
        <v>6.1511300676516931E-2</v>
      </c>
      <c r="D30" s="15">
        <f t="shared" si="12"/>
        <v>2.7608071132565179E-2</v>
      </c>
      <c r="E30" s="15">
        <f t="shared" si="12"/>
        <v>1.7912163958707913E-2</v>
      </c>
      <c r="F30" s="15">
        <f t="shared" si="12"/>
        <v>-1.5516078776333117E-2</v>
      </c>
      <c r="G30" s="15">
        <f t="shared" si="12"/>
        <v>-4.0915360088026265E-2</v>
      </c>
      <c r="H30" s="15">
        <f t="shared" si="12"/>
        <v>2.5763151547420113E-3</v>
      </c>
      <c r="I30" s="15">
        <f t="shared" si="12"/>
        <v>-3.3856482095653805E-2</v>
      </c>
      <c r="J30" s="15">
        <f t="shared" si="12"/>
        <v>-9.4518849588445895E-3</v>
      </c>
      <c r="K30" s="15">
        <f t="shared" si="12"/>
        <v>5.2972701467227018E-2</v>
      </c>
      <c r="L30" s="15">
        <f t="shared" si="12"/>
        <v>6.1126462661617711E-2</v>
      </c>
      <c r="M30" s="15">
        <f t="shared" si="12"/>
        <v>0.1178716253242246</v>
      </c>
    </row>
    <row r="32" spans="2:13" x14ac:dyDescent="0.3">
      <c r="B32" t="s">
        <v>8</v>
      </c>
      <c r="C32" s="17">
        <f>IFERROR('Data Sheet'!B29,0)</f>
        <v>3025.05</v>
      </c>
      <c r="D32" s="17">
        <f>IFERROR('Data Sheet'!C29,0)</f>
        <v>3251.23</v>
      </c>
      <c r="E32" s="17">
        <f>IFERROR('Data Sheet'!D29,0)</f>
        <v>4341.93</v>
      </c>
      <c r="F32" s="17">
        <f>IFERROR('Data Sheet'!E29,0)</f>
        <v>-2437.4499999999998</v>
      </c>
      <c r="G32" s="17">
        <f>IFERROR('Data Sheet'!F29,0)</f>
        <v>395.25</v>
      </c>
      <c r="H32" s="17">
        <f>IFERROR('Data Sheet'!G29,0)</f>
        <v>2541.86</v>
      </c>
      <c r="I32" s="17">
        <f>IFERROR('Data Sheet'!H29,0)</f>
        <v>4231.29</v>
      </c>
      <c r="J32" s="17">
        <f>IFERROR('Data Sheet'!I29,0)</f>
        <v>704.06</v>
      </c>
      <c r="K32" s="17">
        <f>IFERROR('Data Sheet'!J29,0)</f>
        <v>-4024</v>
      </c>
      <c r="L32" s="17">
        <f>IFERROR('Data Sheet'!K29,0)</f>
        <v>10502</v>
      </c>
      <c r="M32" s="17">
        <f>IFERROR('Data Sheet'!L29,0)</f>
        <v>0</v>
      </c>
    </row>
    <row r="33" spans="1:13" x14ac:dyDescent="0.3">
      <c r="B33" s="15" t="s">
        <v>73</v>
      </c>
      <c r="C33" s="15">
        <f>C32/C29</f>
        <v>0.18011192356950362</v>
      </c>
      <c r="D33" s="15">
        <f t="shared" ref="D33:M33" si="13">D32/D29</f>
        <v>0.43665932908836924</v>
      </c>
      <c r="E33" s="15">
        <f t="shared" si="13"/>
        <v>0.8314210213890445</v>
      </c>
      <c r="F33" s="15">
        <f t="shared" si="13"/>
        <v>0.52027791414971725</v>
      </c>
      <c r="G33" s="15">
        <f t="shared" si="13"/>
        <v>-3.7002571690434617E-2</v>
      </c>
      <c r="H33" s="15">
        <f t="shared" si="13"/>
        <v>3.9497474943672315</v>
      </c>
      <c r="I33" s="15">
        <f t="shared" si="13"/>
        <v>-0.4488260888935095</v>
      </c>
      <c r="J33" s="15">
        <f t="shared" si="13"/>
        <v>-0.21530623478611635</v>
      </c>
      <c r="K33" s="15">
        <f t="shared" si="13"/>
        <v>-0.17502500978643817</v>
      </c>
      <c r="L33" s="15">
        <f t="shared" si="13"/>
        <v>0.39074301447334153</v>
      </c>
      <c r="M33" s="15">
        <f t="shared" si="13"/>
        <v>0</v>
      </c>
    </row>
    <row r="35" spans="1:13" x14ac:dyDescent="0.3">
      <c r="B35" s="26" t="s">
        <v>74</v>
      </c>
      <c r="C35" s="27">
        <f>C29-C32</f>
        <v>13770.339999999971</v>
      </c>
      <c r="D35" s="27">
        <f t="shared" ref="D35:M35" si="14">D29-D32</f>
        <v>4194.4600000000464</v>
      </c>
      <c r="E35" s="27">
        <f t="shared" si="14"/>
        <v>880.36999999999171</v>
      </c>
      <c r="F35" s="27">
        <f t="shared" si="14"/>
        <v>-2247.4499999999798</v>
      </c>
      <c r="G35" s="27">
        <f t="shared" si="14"/>
        <v>-11076.940000000039</v>
      </c>
      <c r="H35" s="27">
        <f t="shared" si="14"/>
        <v>-1898.3100000000081</v>
      </c>
      <c r="I35" s="27">
        <f t="shared" si="14"/>
        <v>-13658.749999999989</v>
      </c>
      <c r="J35" s="27">
        <f t="shared" si="14"/>
        <v>-3974.1000000000372</v>
      </c>
      <c r="K35" s="27">
        <f t="shared" si="14"/>
        <v>27015</v>
      </c>
      <c r="L35" s="27">
        <f t="shared" si="14"/>
        <v>16375</v>
      </c>
      <c r="M35" s="27">
        <f t="shared" si="14"/>
        <v>51624</v>
      </c>
    </row>
    <row r="36" spans="1:13" x14ac:dyDescent="0.3">
      <c r="B36" s="15" t="s">
        <v>75</v>
      </c>
      <c r="C36" s="15">
        <f t="shared" ref="C36:M36" si="15">C35/C5</f>
        <v>5.0432381990407359E-2</v>
      </c>
      <c r="D36" s="15">
        <f t="shared" si="15"/>
        <v>1.5552749314395296E-2</v>
      </c>
      <c r="E36" s="15">
        <f t="shared" si="15"/>
        <v>3.01961430487095E-3</v>
      </c>
      <c r="F36" s="15">
        <f t="shared" si="15"/>
        <v>-7.4434056747998256E-3</v>
      </c>
      <c r="G36" s="15">
        <f t="shared" si="15"/>
        <v>-4.2429333632923408E-2</v>
      </c>
      <c r="H36" s="15">
        <f t="shared" si="15"/>
        <v>-7.5994791724005731E-3</v>
      </c>
      <c r="I36" s="15">
        <f t="shared" si="15"/>
        <v>-4.9052154538339235E-2</v>
      </c>
      <c r="J36" s="15">
        <f t="shared" si="15"/>
        <v>-1.1486934720964945E-2</v>
      </c>
      <c r="K36" s="15">
        <f t="shared" si="15"/>
        <v>6.224424905994249E-2</v>
      </c>
      <c r="L36" s="15">
        <f t="shared" si="15"/>
        <v>3.724172437712505E-2</v>
      </c>
      <c r="M36" s="15">
        <f t="shared" si="15"/>
        <v>0.1178716253242246</v>
      </c>
    </row>
    <row r="38" spans="1:13" x14ac:dyDescent="0.3">
      <c r="B38" t="s">
        <v>76</v>
      </c>
      <c r="C38">
        <f>IFERROR('Data Sheet'!B93,0)</f>
        <v>288.72000000000003</v>
      </c>
      <c r="D38">
        <f>IFERROR('Data Sheet'!C93,0)</f>
        <v>288.73</v>
      </c>
      <c r="E38">
        <f>IFERROR('Data Sheet'!D93,0)</f>
        <v>288.73</v>
      </c>
      <c r="F38">
        <f>IFERROR('Data Sheet'!E93,0)</f>
        <v>288.73</v>
      </c>
      <c r="G38">
        <f>IFERROR('Data Sheet'!F93,0)</f>
        <v>308.89999999999998</v>
      </c>
      <c r="H38">
        <f>IFERROR('Data Sheet'!G93,0)</f>
        <v>332.03</v>
      </c>
      <c r="I38">
        <f>IFERROR('Data Sheet'!H93,0)</f>
        <v>332.07</v>
      </c>
      <c r="J38">
        <f>IFERROR('Data Sheet'!I93,0)</f>
        <v>332.13</v>
      </c>
      <c r="K38">
        <f>IFERROR('Data Sheet'!J93,0)</f>
        <v>332.37</v>
      </c>
      <c r="L38">
        <f>IFERROR('Data Sheet'!K93,0)</f>
        <v>368.13</v>
      </c>
      <c r="M38">
        <f>IFERROR('Data Sheet'!L93,0)</f>
        <v>0</v>
      </c>
    </row>
    <row r="39" spans="1:13" x14ac:dyDescent="0.3">
      <c r="B39" s="15" t="s">
        <v>77</v>
      </c>
      <c r="C39" s="19">
        <f>C35/C38</f>
        <v>47.694444444444336</v>
      </c>
      <c r="D39" s="19">
        <f t="shared" ref="D39:M39" si="16">D35/D38</f>
        <v>14.527274616423808</v>
      </c>
      <c r="E39" s="19">
        <f t="shared" si="16"/>
        <v>3.049111626779315</v>
      </c>
      <c r="F39" s="19">
        <f t="shared" si="16"/>
        <v>-7.7839157690575265</v>
      </c>
      <c r="G39" s="19">
        <f t="shared" si="16"/>
        <v>-35.859307219164904</v>
      </c>
      <c r="H39" s="19">
        <f t="shared" si="16"/>
        <v>-5.7172845827184542</v>
      </c>
      <c r="I39" s="19">
        <f t="shared" si="16"/>
        <v>-41.132140813683833</v>
      </c>
      <c r="J39" s="19">
        <f t="shared" si="16"/>
        <v>-11.965495438533218</v>
      </c>
      <c r="K39" s="19">
        <f t="shared" si="16"/>
        <v>81.279898907843673</v>
      </c>
      <c r="L39" s="19">
        <f t="shared" si="16"/>
        <v>44.481569010947219</v>
      </c>
      <c r="M39" s="19" t="e">
        <f t="shared" si="16"/>
        <v>#DIV/0!</v>
      </c>
    </row>
    <row r="41" spans="1:13" x14ac:dyDescent="0.3">
      <c r="B41" t="s">
        <v>78</v>
      </c>
      <c r="C41" s="17">
        <f>IFERROR('Data Sheet'!B31/'Financials&gt;'!C38,0)</f>
        <v>0.23524522028262676</v>
      </c>
      <c r="D41" s="17">
        <f>IFERROR('Data Sheet'!C31/'Financials&gt;'!D38,0)</f>
        <v>0</v>
      </c>
      <c r="E41" s="17">
        <f>IFERROR('Data Sheet'!D31/'Financials&gt;'!E37,0)</f>
        <v>0</v>
      </c>
      <c r="F41" s="17">
        <f>IFERROR('Data Sheet'!E31/'Financials&gt;'!F38,0)</f>
        <v>0</v>
      </c>
      <c r="G41" s="17">
        <f>IFERROR('Data Sheet'!F31/'Financials&gt;'!G38,0)</f>
        <v>0</v>
      </c>
      <c r="H41" s="17">
        <f>IFERROR('Data Sheet'!G31/'Financials&gt;'!H38,0)</f>
        <v>0</v>
      </c>
      <c r="I41" s="17">
        <f>IFERROR('Data Sheet'!H31/'Financials&gt;'!I38,0)</f>
        <v>0</v>
      </c>
      <c r="J41" s="17">
        <f>IFERROR('Data Sheet'!I31/'Financials&gt;'!J38,0)</f>
        <v>2.3063860536536898</v>
      </c>
      <c r="K41" s="17">
        <f>IFERROR('Data Sheet'!J31/'Financials&gt;'!K38,0)</f>
        <v>6.9230074916508713</v>
      </c>
      <c r="L41" s="17">
        <f>IFERROR('Data Sheet'!K31/'Financials&gt;'!L38,0)</f>
        <v>5.9978811832776469</v>
      </c>
      <c r="M41" s="17">
        <f>IFERROR('Data Sheet'!L31/'Financials&gt;'!M38,0)</f>
        <v>0</v>
      </c>
    </row>
    <row r="42" spans="1:13" x14ac:dyDescent="0.3">
      <c r="B42" s="15" t="s">
        <v>79</v>
      </c>
      <c r="C42" s="15">
        <f>C41/C38</f>
        <v>8.1478671475002334E-4</v>
      </c>
      <c r="D42" s="15">
        <f t="shared" ref="D42:M42" si="17">D41/D38</f>
        <v>0</v>
      </c>
      <c r="E42" s="15">
        <f t="shared" si="17"/>
        <v>0</v>
      </c>
      <c r="F42" s="15">
        <f t="shared" si="17"/>
        <v>0</v>
      </c>
      <c r="G42" s="15">
        <f t="shared" si="17"/>
        <v>0</v>
      </c>
      <c r="H42" s="15">
        <f t="shared" si="17"/>
        <v>0</v>
      </c>
      <c r="I42" s="15">
        <f t="shared" si="17"/>
        <v>0</v>
      </c>
      <c r="J42" s="15">
        <f t="shared" si="17"/>
        <v>6.9442268197804765E-3</v>
      </c>
      <c r="K42" s="15">
        <f t="shared" si="17"/>
        <v>2.0829218917624549E-2</v>
      </c>
      <c r="L42" s="15">
        <f t="shared" si="17"/>
        <v>1.6292834551048942E-2</v>
      </c>
      <c r="M42" s="15" t="e">
        <f t="shared" si="17"/>
        <v>#DIV/0!</v>
      </c>
    </row>
    <row r="44" spans="1:13" x14ac:dyDescent="0.3">
      <c r="B44" t="s">
        <v>80</v>
      </c>
      <c r="C44" s="12">
        <f>IFERROR(IF(C39&gt;C41,1-C42,0),0)</f>
        <v>0.99918521328525001</v>
      </c>
      <c r="D44" s="12">
        <f t="shared" ref="D44:M44" si="18">IFERROR(IF(D39&gt;D41,1-D42,0),0)</f>
        <v>1</v>
      </c>
      <c r="E44" s="12">
        <f t="shared" si="18"/>
        <v>1</v>
      </c>
      <c r="F44" s="12">
        <f t="shared" si="18"/>
        <v>0</v>
      </c>
      <c r="G44" s="12">
        <f t="shared" si="18"/>
        <v>0</v>
      </c>
      <c r="H44" s="12">
        <f t="shared" si="18"/>
        <v>0</v>
      </c>
      <c r="I44" s="12">
        <f t="shared" si="18"/>
        <v>0</v>
      </c>
      <c r="J44" s="12">
        <f t="shared" si="18"/>
        <v>0</v>
      </c>
      <c r="K44" s="12">
        <f t="shared" si="18"/>
        <v>0.97917078108237543</v>
      </c>
      <c r="L44" s="12">
        <f t="shared" si="18"/>
        <v>0.98370716544895109</v>
      </c>
      <c r="M44" s="12">
        <f t="shared" si="18"/>
        <v>0</v>
      </c>
    </row>
    <row r="46" spans="1:13" x14ac:dyDescent="0.3">
      <c r="A46" t="s">
        <v>56</v>
      </c>
      <c r="B46" s="18" t="s">
        <v>81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</row>
    <row r="47" spans="1:13" x14ac:dyDescent="0.3">
      <c r="B47" t="s">
        <v>82</v>
      </c>
      <c r="C47" s="17">
        <f>IFERROR('Data Sheet'!B57,0)</f>
        <v>679.18</v>
      </c>
      <c r="D47" s="17">
        <f>IFERROR('Data Sheet'!C57,0)</f>
        <v>679.22</v>
      </c>
      <c r="E47" s="17">
        <f>IFERROR('Data Sheet'!D57,0)</f>
        <v>679.22</v>
      </c>
      <c r="F47" s="17">
        <f>IFERROR('Data Sheet'!E57,0)</f>
        <v>679.22</v>
      </c>
      <c r="G47" s="17">
        <f>IFERROR('Data Sheet'!F57,0)</f>
        <v>719.54</v>
      </c>
      <c r="H47" s="17">
        <f>IFERROR('Data Sheet'!G57,0)</f>
        <v>765.81</v>
      </c>
      <c r="I47" s="17">
        <f>IFERROR('Data Sheet'!H57,0)</f>
        <v>765.88</v>
      </c>
      <c r="J47" s="17">
        <f>IFERROR('Data Sheet'!I57,0)</f>
        <v>766.02</v>
      </c>
      <c r="K47" s="17">
        <f>IFERROR('Data Sheet'!J57,0)</f>
        <v>767</v>
      </c>
      <c r="L47" s="17">
        <f>IFERROR('Data Sheet'!K57,0)</f>
        <v>736</v>
      </c>
      <c r="M47" s="17">
        <f>IFERROR('Data Sheet'!L57,0)</f>
        <v>0</v>
      </c>
    </row>
    <row r="48" spans="1:13" x14ac:dyDescent="0.3">
      <c r="B48" s="3" t="s">
        <v>11</v>
      </c>
      <c r="C48" s="17">
        <f>IFERROR('Data Sheet'!B58,0)</f>
        <v>78273.23</v>
      </c>
      <c r="D48" s="17">
        <f>IFERROR('Data Sheet'!C58,0)</f>
        <v>57382.67</v>
      </c>
      <c r="E48" s="17">
        <f>IFERROR('Data Sheet'!D58,0)</f>
        <v>94748.69</v>
      </c>
      <c r="F48" s="17">
        <f>IFERROR('Data Sheet'!E58,0)</f>
        <v>59500.34</v>
      </c>
      <c r="G48" s="17">
        <f>IFERROR('Data Sheet'!F58,0)</f>
        <v>62358.99</v>
      </c>
      <c r="H48" s="17">
        <f>IFERROR('Data Sheet'!G58,0)</f>
        <v>54480.91</v>
      </c>
      <c r="I48" s="17">
        <f>IFERROR('Data Sheet'!H58,0)</f>
        <v>43795.360000000001</v>
      </c>
      <c r="J48" s="17">
        <f>IFERROR('Data Sheet'!I58,0)</f>
        <v>44555.77</v>
      </c>
      <c r="K48" s="17">
        <f>IFERROR('Data Sheet'!J58,0)</f>
        <v>84151</v>
      </c>
      <c r="L48" s="17">
        <f>IFERROR('Data Sheet'!K58,0)</f>
        <v>115408</v>
      </c>
      <c r="M48" s="17">
        <f>IFERROR('Data Sheet'!L58,0)</f>
        <v>0</v>
      </c>
    </row>
    <row r="49" spans="2:13" x14ac:dyDescent="0.3">
      <c r="B49" s="3" t="s">
        <v>35</v>
      </c>
      <c r="C49" s="17">
        <f>IFERROR('Data Sheet'!B59,0)</f>
        <v>69359.960000000006</v>
      </c>
      <c r="D49" s="17">
        <f>IFERROR('Data Sheet'!C59,0)</f>
        <v>78603.98</v>
      </c>
      <c r="E49" s="17">
        <f>IFERROR('Data Sheet'!D59,0)</f>
        <v>88950.47</v>
      </c>
      <c r="F49" s="17">
        <f>IFERROR('Data Sheet'!E59,0)</f>
        <v>106175.34</v>
      </c>
      <c r="G49" s="17">
        <f>IFERROR('Data Sheet'!F59,0)</f>
        <v>124787.64</v>
      </c>
      <c r="H49" s="17">
        <f>IFERROR('Data Sheet'!G59,0)</f>
        <v>142130.57</v>
      </c>
      <c r="I49" s="17">
        <f>IFERROR('Data Sheet'!H59,0)</f>
        <v>146449.03</v>
      </c>
      <c r="J49" s="17">
        <f>IFERROR('Data Sheet'!I59,0)</f>
        <v>134113.44</v>
      </c>
      <c r="K49" s="17">
        <f>IFERROR('Data Sheet'!J59,0)</f>
        <v>107264</v>
      </c>
      <c r="L49" s="17">
        <f>IFERROR('Data Sheet'!K59,0)</f>
        <v>71540</v>
      </c>
      <c r="M49" s="17">
        <f>IFERROR('Data Sheet'!L59,0)</f>
        <v>0</v>
      </c>
    </row>
    <row r="50" spans="2:13" x14ac:dyDescent="0.3">
      <c r="B50" s="3" t="s">
        <v>36</v>
      </c>
      <c r="C50" s="17">
        <f>IFERROR('Data Sheet'!B60,0)</f>
        <v>114871.75</v>
      </c>
      <c r="D50" s="17">
        <f>IFERROR('Data Sheet'!C60,0)</f>
        <v>135914.49</v>
      </c>
      <c r="E50" s="17">
        <f>IFERROR('Data Sheet'!D60,0)</f>
        <v>142813.43</v>
      </c>
      <c r="F50" s="17">
        <f>IFERROR('Data Sheet'!E60,0)</f>
        <v>139348.59</v>
      </c>
      <c r="G50" s="17">
        <f>IFERROR('Data Sheet'!F60,0)</f>
        <v>132313.22</v>
      </c>
      <c r="H50" s="17">
        <f>IFERROR('Data Sheet'!G60,0)</f>
        <v>144192.62</v>
      </c>
      <c r="I50" s="17">
        <f>IFERROR('Data Sheet'!H60,0)</f>
        <v>138051.22</v>
      </c>
      <c r="J50" s="17">
        <f>IFERROR('Data Sheet'!I60,0)</f>
        <v>155239.20000000001</v>
      </c>
      <c r="K50" s="17">
        <f>IFERROR('Data Sheet'!J60,0)</f>
        <v>177339</v>
      </c>
      <c r="L50" s="17">
        <f>IFERROR('Data Sheet'!K60,0)</f>
        <v>189289</v>
      </c>
      <c r="M50" s="17">
        <f>IFERROR('Data Sheet'!L60,0)</f>
        <v>0</v>
      </c>
    </row>
    <row r="51" spans="2:13" x14ac:dyDescent="0.3">
      <c r="B51" s="28" t="s">
        <v>83</v>
      </c>
      <c r="C51" s="27">
        <f>IFERROR('Data Sheet'!B61,0)</f>
        <v>263184.12</v>
      </c>
      <c r="D51" s="27">
        <f>IFERROR('Data Sheet'!C61,0)</f>
        <v>272580.36</v>
      </c>
      <c r="E51" s="27">
        <f>IFERROR('Data Sheet'!D61,0)</f>
        <v>327191.81</v>
      </c>
      <c r="F51" s="27">
        <f>IFERROR('Data Sheet'!E61,0)</f>
        <v>305703.49</v>
      </c>
      <c r="G51" s="27">
        <f>IFERROR('Data Sheet'!F61,0)</f>
        <v>320179.39</v>
      </c>
      <c r="H51" s="27">
        <f>IFERROR('Data Sheet'!G61,0)</f>
        <v>341569.91</v>
      </c>
      <c r="I51" s="27">
        <f>IFERROR('Data Sheet'!H61,0)</f>
        <v>329061.49</v>
      </c>
      <c r="J51" s="27">
        <f>IFERROR('Data Sheet'!I61,0)</f>
        <v>334674.43</v>
      </c>
      <c r="K51" s="27">
        <f>IFERROR('Data Sheet'!J61,0)</f>
        <v>369521</v>
      </c>
      <c r="L51" s="27">
        <f>IFERROR('Data Sheet'!K61,0)</f>
        <v>376973</v>
      </c>
      <c r="M51" s="27">
        <f>IFERROR('Data Sheet'!L61,0)</f>
        <v>0</v>
      </c>
    </row>
    <row r="52" spans="2:13" x14ac:dyDescent="0.3"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2:13" x14ac:dyDescent="0.3">
      <c r="B53" s="3" t="s">
        <v>13</v>
      </c>
      <c r="C53" s="17">
        <f>IFERROR('Data Sheet'!B62,0)</f>
        <v>107231.76</v>
      </c>
      <c r="D53" s="17">
        <f>IFERROR('Data Sheet'!C62,0)</f>
        <v>95944.08</v>
      </c>
      <c r="E53" s="17">
        <f>IFERROR('Data Sheet'!D62,0)</f>
        <v>121413.86</v>
      </c>
      <c r="F53" s="17">
        <f>IFERROR('Data Sheet'!E62,0)</f>
        <v>111234.47</v>
      </c>
      <c r="G53" s="17">
        <f>IFERROR('Data Sheet'!F62,0)</f>
        <v>127107.14</v>
      </c>
      <c r="H53" s="17">
        <f>IFERROR('Data Sheet'!G62,0)</f>
        <v>138707.60999999999</v>
      </c>
      <c r="I53" s="17">
        <f>IFERROR('Data Sheet'!H62,0)</f>
        <v>138855.45000000001</v>
      </c>
      <c r="J53" s="17">
        <f>IFERROR('Data Sheet'!I62,0)</f>
        <v>132079.76</v>
      </c>
      <c r="K53" s="17">
        <f>IFERROR('Data Sheet'!J62,0)</f>
        <v>121285</v>
      </c>
      <c r="L53" s="17">
        <f>IFERROR('Data Sheet'!K62,0)</f>
        <v>115697</v>
      </c>
      <c r="M53" s="17">
        <f>IFERROR('Data Sheet'!L62,0)</f>
        <v>0</v>
      </c>
    </row>
    <row r="54" spans="2:13" x14ac:dyDescent="0.3">
      <c r="B54" s="3" t="s">
        <v>14</v>
      </c>
      <c r="C54" s="17">
        <f>IFERROR('Data Sheet'!B63,0)</f>
        <v>25918.94</v>
      </c>
      <c r="D54" s="17">
        <f>IFERROR('Data Sheet'!C63,0)</f>
        <v>33698.839999999997</v>
      </c>
      <c r="E54" s="17">
        <f>IFERROR('Data Sheet'!D63,0)</f>
        <v>40033.5</v>
      </c>
      <c r="F54" s="17">
        <f>IFERROR('Data Sheet'!E63,0)</f>
        <v>31883.84</v>
      </c>
      <c r="G54" s="17">
        <f>IFERROR('Data Sheet'!F63,0)</f>
        <v>35622.29</v>
      </c>
      <c r="H54" s="17">
        <f>IFERROR('Data Sheet'!G63,0)</f>
        <v>20963.93</v>
      </c>
      <c r="I54" s="17">
        <f>IFERROR('Data Sheet'!H63,0)</f>
        <v>10251.09</v>
      </c>
      <c r="J54" s="17">
        <f>IFERROR('Data Sheet'!I63,0)</f>
        <v>14274.5</v>
      </c>
      <c r="K54" s="17">
        <f>IFERROR('Data Sheet'!J63,0)</f>
        <v>35698</v>
      </c>
      <c r="L54" s="17">
        <f>IFERROR('Data Sheet'!K63,0)</f>
        <v>65806</v>
      </c>
      <c r="M54" s="17">
        <f>IFERROR('Data Sheet'!L63,0)</f>
        <v>0</v>
      </c>
    </row>
    <row r="55" spans="2:13" x14ac:dyDescent="0.3">
      <c r="B55" s="3" t="s">
        <v>15</v>
      </c>
      <c r="C55" s="17">
        <f>IFERROR('Data Sheet'!B64,0)</f>
        <v>23767.02</v>
      </c>
      <c r="D55" s="17">
        <f>IFERROR('Data Sheet'!C64,0)</f>
        <v>20337.919999999998</v>
      </c>
      <c r="E55" s="17">
        <f>IFERROR('Data Sheet'!D64,0)</f>
        <v>20812.75</v>
      </c>
      <c r="F55" s="17">
        <f>IFERROR('Data Sheet'!E64,0)</f>
        <v>15770.72</v>
      </c>
      <c r="G55" s="17">
        <f>IFERROR('Data Sheet'!F64,0)</f>
        <v>16308.48</v>
      </c>
      <c r="H55" s="17">
        <f>IFERROR('Data Sheet'!G64,0)</f>
        <v>24620.28</v>
      </c>
      <c r="I55" s="17">
        <f>IFERROR('Data Sheet'!H64,0)</f>
        <v>29379.53</v>
      </c>
      <c r="J55" s="17">
        <f>IFERROR('Data Sheet'!I64,0)</f>
        <v>26379.16</v>
      </c>
      <c r="K55" s="17">
        <f>IFERROR('Data Sheet'!J64,0)</f>
        <v>22971</v>
      </c>
      <c r="L55" s="17">
        <f>IFERROR('Data Sheet'!K64,0)</f>
        <v>35656</v>
      </c>
      <c r="M55" s="17">
        <f>IFERROR('Data Sheet'!L64,0)</f>
        <v>0</v>
      </c>
    </row>
    <row r="56" spans="2:13" x14ac:dyDescent="0.3">
      <c r="B56" s="3" t="s">
        <v>37</v>
      </c>
      <c r="C56" s="17">
        <f>IFERROR('Data Sheet'!B65,0)</f>
        <v>106266.4</v>
      </c>
      <c r="D56" s="17">
        <f>IFERROR('Data Sheet'!C65,0)</f>
        <v>122599.52</v>
      </c>
      <c r="E56" s="17">
        <f>IFERROR('Data Sheet'!D65,0)</f>
        <v>144931.70000000001</v>
      </c>
      <c r="F56" s="17">
        <f>IFERROR('Data Sheet'!E65,0)</f>
        <v>146814.46</v>
      </c>
      <c r="G56" s="17">
        <f>IFERROR('Data Sheet'!F65,0)</f>
        <v>141141.48000000001</v>
      </c>
      <c r="H56" s="17">
        <f>IFERROR('Data Sheet'!G65,0)</f>
        <v>157278.09</v>
      </c>
      <c r="I56" s="17">
        <f>IFERROR('Data Sheet'!H65,0)</f>
        <v>150575.42000000001</v>
      </c>
      <c r="J56" s="17">
        <f>IFERROR('Data Sheet'!I65,0)</f>
        <v>161941.01</v>
      </c>
      <c r="K56" s="17">
        <f>IFERROR('Data Sheet'!J65,0)</f>
        <v>189567</v>
      </c>
      <c r="L56" s="17">
        <f>IFERROR('Data Sheet'!K65,0)</f>
        <v>159814</v>
      </c>
      <c r="M56" s="17">
        <f>IFERROR('Data Sheet'!L65,0)</f>
        <v>0</v>
      </c>
    </row>
    <row r="57" spans="2:13" x14ac:dyDescent="0.3">
      <c r="B57" s="28" t="s">
        <v>84</v>
      </c>
      <c r="C57" s="27">
        <f>IFERROR(SUM(C53:C56)-SUM(C59:C61),0)</f>
        <v>186497.08</v>
      </c>
      <c r="D57" s="27">
        <f t="shared" ref="D57:M57" si="19">IFERROR(SUM(D53:D56)-SUM(D59:D61),0)</f>
        <v>187341.62</v>
      </c>
      <c r="E57" s="27">
        <f t="shared" si="19"/>
        <v>230546.97</v>
      </c>
      <c r="F57" s="27">
        <f t="shared" si="19"/>
        <v>215044.77</v>
      </c>
      <c r="G57" s="27">
        <f t="shared" si="19"/>
        <v>237822.85</v>
      </c>
      <c r="H57" s="27">
        <f t="shared" si="19"/>
        <v>246009.77999999997</v>
      </c>
      <c r="I57" s="27">
        <f t="shared" si="19"/>
        <v>240709.84</v>
      </c>
      <c r="J57" s="27">
        <f t="shared" si="19"/>
        <v>241165.51000000007</v>
      </c>
      <c r="K57" s="27">
        <f t="shared" si="19"/>
        <v>258974</v>
      </c>
      <c r="L57" s="27">
        <f t="shared" si="19"/>
        <v>275622</v>
      </c>
      <c r="M57" s="27">
        <f t="shared" si="19"/>
        <v>0</v>
      </c>
    </row>
    <row r="58" spans="2:13" x14ac:dyDescent="0.3"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2:13" x14ac:dyDescent="0.3">
      <c r="B59" s="3" t="s">
        <v>42</v>
      </c>
      <c r="C59" s="17">
        <f>IFERROR('Data Sheet'!B67,0)</f>
        <v>13570.91</v>
      </c>
      <c r="D59" s="17">
        <f>IFERROR('Data Sheet'!C67,0)</f>
        <v>14075.55</v>
      </c>
      <c r="E59" s="17">
        <f>IFERROR('Data Sheet'!D67,0)</f>
        <v>19893.3</v>
      </c>
      <c r="F59" s="17">
        <f>IFERROR('Data Sheet'!E67,0)</f>
        <v>18996.169999999998</v>
      </c>
      <c r="G59" s="17">
        <f>IFERROR('Data Sheet'!F67,0)</f>
        <v>11172.69</v>
      </c>
      <c r="H59" s="17">
        <f>IFERROR('Data Sheet'!G67,0)</f>
        <v>12679.08</v>
      </c>
      <c r="I59" s="17">
        <f>IFERROR('Data Sheet'!H67,0)</f>
        <v>12442.12</v>
      </c>
      <c r="J59" s="17">
        <f>IFERROR('Data Sheet'!I67,0)</f>
        <v>15737.97</v>
      </c>
      <c r="K59" s="17">
        <f>IFERROR('Data Sheet'!J67,0)</f>
        <v>16952</v>
      </c>
      <c r="L59" s="17">
        <f>IFERROR('Data Sheet'!K67,0)</f>
        <v>13248</v>
      </c>
      <c r="M59" s="17">
        <f>IFERROR('Data Sheet'!L67,0)</f>
        <v>0</v>
      </c>
    </row>
    <row r="60" spans="2:13" x14ac:dyDescent="0.3">
      <c r="B60" s="3" t="s">
        <v>29</v>
      </c>
      <c r="C60" s="17">
        <f>IFERROR('Data Sheet'!B68,0)</f>
        <v>32655.73</v>
      </c>
      <c r="D60" s="17">
        <f>IFERROR('Data Sheet'!C68,0)</f>
        <v>35085.31</v>
      </c>
      <c r="E60" s="17">
        <f>IFERROR('Data Sheet'!D68,0)</f>
        <v>42137.63</v>
      </c>
      <c r="F60" s="17">
        <f>IFERROR('Data Sheet'!E68,0)</f>
        <v>39013.730000000003</v>
      </c>
      <c r="G60" s="17">
        <f>IFERROR('Data Sheet'!F68,0)</f>
        <v>37456.879999999997</v>
      </c>
      <c r="H60" s="17">
        <f>IFERROR('Data Sheet'!G68,0)</f>
        <v>36088.589999999997</v>
      </c>
      <c r="I60" s="17">
        <f>IFERROR('Data Sheet'!H68,0)</f>
        <v>35240.339999999997</v>
      </c>
      <c r="J60" s="17">
        <f>IFERROR('Data Sheet'!I68,0)</f>
        <v>40755.39</v>
      </c>
      <c r="K60" s="17">
        <f>IFERROR('Data Sheet'!J68,0)</f>
        <v>47788</v>
      </c>
      <c r="L60" s="17">
        <f>IFERROR('Data Sheet'!K68,0)</f>
        <v>47269</v>
      </c>
      <c r="M60" s="17">
        <f>IFERROR('Data Sheet'!L68,0)</f>
        <v>0</v>
      </c>
    </row>
    <row r="61" spans="2:13" x14ac:dyDescent="0.3">
      <c r="B61" s="2" t="s">
        <v>51</v>
      </c>
      <c r="C61" s="17">
        <f>IFERROR('Data Sheet'!B69,0)</f>
        <v>30460.400000000001</v>
      </c>
      <c r="D61" s="17">
        <f>IFERROR('Data Sheet'!C69,0)</f>
        <v>36077.879999999997</v>
      </c>
      <c r="E61" s="17">
        <f>IFERROR('Data Sheet'!D69,0)</f>
        <v>34613.910000000003</v>
      </c>
      <c r="F61" s="17">
        <f>IFERROR('Data Sheet'!E69,0)</f>
        <v>32648.82</v>
      </c>
      <c r="G61" s="17">
        <f>IFERROR('Data Sheet'!F69,0)</f>
        <v>33726.97</v>
      </c>
      <c r="H61" s="17">
        <f>IFERROR('Data Sheet'!G69,0)</f>
        <v>46792.46</v>
      </c>
      <c r="I61" s="17">
        <f>IFERROR('Data Sheet'!H69,0)</f>
        <v>40669.19</v>
      </c>
      <c r="J61" s="17">
        <f>IFERROR('Data Sheet'!I69,0)</f>
        <v>37015.56</v>
      </c>
      <c r="K61" s="17">
        <f>IFERROR('Data Sheet'!J69,0)</f>
        <v>45807</v>
      </c>
      <c r="L61" s="17">
        <f>IFERROR('Data Sheet'!K69,0)</f>
        <v>40834</v>
      </c>
      <c r="M61" s="17">
        <f>IFERROR('Data Sheet'!L69,0)</f>
        <v>0</v>
      </c>
    </row>
    <row r="62" spans="2:13" x14ac:dyDescent="0.3">
      <c r="B62" s="29" t="s">
        <v>86</v>
      </c>
      <c r="C62" s="27">
        <f t="shared" ref="C62:M62" si="20">IFERROR(SUM(C59:C61),0)</f>
        <v>76687.040000000008</v>
      </c>
      <c r="D62" s="27">
        <f t="shared" si="20"/>
        <v>85238.739999999991</v>
      </c>
      <c r="E62" s="27">
        <f t="shared" si="20"/>
        <v>96644.84</v>
      </c>
      <c r="F62" s="27">
        <f t="shared" si="20"/>
        <v>90658.72</v>
      </c>
      <c r="G62" s="27">
        <f t="shared" si="20"/>
        <v>82356.540000000008</v>
      </c>
      <c r="H62" s="27">
        <f t="shared" si="20"/>
        <v>95560.13</v>
      </c>
      <c r="I62" s="27">
        <f t="shared" si="20"/>
        <v>88351.65</v>
      </c>
      <c r="J62" s="27">
        <f t="shared" si="20"/>
        <v>93508.92</v>
      </c>
      <c r="K62" s="27">
        <f t="shared" si="20"/>
        <v>110547</v>
      </c>
      <c r="L62" s="27">
        <f t="shared" si="20"/>
        <v>101351</v>
      </c>
      <c r="M62" s="27">
        <f t="shared" si="20"/>
        <v>0</v>
      </c>
    </row>
    <row r="63" spans="2:13" x14ac:dyDescent="0.3"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</row>
    <row r="64" spans="2:13" x14ac:dyDescent="0.3">
      <c r="B64" s="29" t="s">
        <v>85</v>
      </c>
      <c r="C64" s="27">
        <f t="shared" ref="C64:M64" si="21">IFERROR(SUM(C62,C57),0)</f>
        <v>263184.12</v>
      </c>
      <c r="D64" s="27">
        <f t="shared" si="21"/>
        <v>272580.36</v>
      </c>
      <c r="E64" s="27">
        <f t="shared" si="21"/>
        <v>327191.81</v>
      </c>
      <c r="F64" s="27">
        <f t="shared" si="21"/>
        <v>305703.49</v>
      </c>
      <c r="G64" s="27">
        <f t="shared" si="21"/>
        <v>320179.39</v>
      </c>
      <c r="H64" s="27">
        <f t="shared" si="21"/>
        <v>341569.91</v>
      </c>
      <c r="I64" s="27">
        <f t="shared" si="21"/>
        <v>329061.49</v>
      </c>
      <c r="J64" s="27">
        <f t="shared" si="21"/>
        <v>334674.43000000005</v>
      </c>
      <c r="K64" s="27">
        <f t="shared" si="21"/>
        <v>369521</v>
      </c>
      <c r="L64" s="27">
        <f t="shared" si="21"/>
        <v>376973</v>
      </c>
      <c r="M64" s="27">
        <f t="shared" si="21"/>
        <v>0</v>
      </c>
    </row>
    <row r="66" spans="1:13" x14ac:dyDescent="0.3">
      <c r="B66" s="15" t="s">
        <v>87</v>
      </c>
      <c r="C66" s="15" t="b">
        <f t="shared" ref="C66:M66" si="22">C64=C51</f>
        <v>1</v>
      </c>
      <c r="D66" s="15" t="b">
        <f t="shared" si="22"/>
        <v>1</v>
      </c>
      <c r="E66" s="15" t="b">
        <f t="shared" si="22"/>
        <v>1</v>
      </c>
      <c r="F66" s="15" t="b">
        <f t="shared" si="22"/>
        <v>1</v>
      </c>
      <c r="G66" s="15" t="b">
        <f t="shared" si="22"/>
        <v>1</v>
      </c>
      <c r="H66" s="15" t="b">
        <f t="shared" si="22"/>
        <v>1</v>
      </c>
      <c r="I66" s="15" t="b">
        <f t="shared" si="22"/>
        <v>1</v>
      </c>
      <c r="J66" s="15" t="b">
        <f t="shared" si="22"/>
        <v>1</v>
      </c>
      <c r="K66" s="15" t="b">
        <f t="shared" si="22"/>
        <v>1</v>
      </c>
      <c r="L66" s="15" t="b">
        <f t="shared" si="22"/>
        <v>1</v>
      </c>
      <c r="M66" s="15" t="b">
        <f t="shared" si="22"/>
        <v>1</v>
      </c>
    </row>
    <row r="68" spans="1:13" x14ac:dyDescent="0.3">
      <c r="A68" t="s">
        <v>56</v>
      </c>
      <c r="B68" s="18" t="s">
        <v>88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</row>
    <row r="69" spans="1:13" x14ac:dyDescent="0.3">
      <c r="B69" s="24" t="s">
        <v>89</v>
      </c>
    </row>
    <row r="70" spans="1:13" x14ac:dyDescent="0.3">
      <c r="B70" t="s">
        <v>90</v>
      </c>
      <c r="C70" s="17">
        <f>IFERROR('Cashflow Data'!C4,0)</f>
        <v>38626</v>
      </c>
      <c r="D70" s="17">
        <f>IFERROR('Cashflow Data'!D4,0)</f>
        <v>28840</v>
      </c>
      <c r="E70" s="17">
        <f>IFERROR('Cashflow Data'!E4,0)</f>
        <v>33312</v>
      </c>
      <c r="F70" s="17">
        <f>IFERROR('Cashflow Data'!F4,0)</f>
        <v>28771</v>
      </c>
      <c r="G70" s="17">
        <f>IFERROR('Cashflow Data'!G4,0)</f>
        <v>23352</v>
      </c>
      <c r="H70" s="17">
        <f>IFERROR('Cashflow Data'!H4,0)</f>
        <v>31198</v>
      </c>
      <c r="I70" s="17">
        <f>IFERROR('Cashflow Data'!I4,0)</f>
        <v>26943</v>
      </c>
      <c r="J70" s="17">
        <f>IFERROR('Cashflow Data'!J4,0)</f>
        <v>41694</v>
      </c>
      <c r="K70" s="17">
        <f>IFERROR('Cashflow Data'!K4,0)</f>
        <v>65106</v>
      </c>
      <c r="L70" s="17">
        <f>IFERROR('Cashflow Data'!L4,0)</f>
        <v>58937</v>
      </c>
      <c r="M70" s="17">
        <f>IFERROR('Cashflow Data'!M4,0)</f>
        <v>0</v>
      </c>
    </row>
    <row r="71" spans="1:13" x14ac:dyDescent="0.3">
      <c r="B71" t="s">
        <v>42</v>
      </c>
      <c r="C71" s="17">
        <f>IFERROR('Cashflow Data'!C5,0)</f>
        <v>-2223</v>
      </c>
      <c r="D71" s="17">
        <f>IFERROR('Cashflow Data'!D5,0)</f>
        <v>-4152</v>
      </c>
      <c r="E71" s="17">
        <f>IFERROR('Cashflow Data'!E5,0)</f>
        <v>-10688</v>
      </c>
      <c r="F71" s="17">
        <f>IFERROR('Cashflow Data'!F5,0)</f>
        <v>-9109</v>
      </c>
      <c r="G71" s="17">
        <f>IFERROR('Cashflow Data'!G5,0)</f>
        <v>9950</v>
      </c>
      <c r="H71" s="17">
        <f>IFERROR('Cashflow Data'!H5,0)</f>
        <v>-5505</v>
      </c>
      <c r="I71" s="17">
        <f>IFERROR('Cashflow Data'!I5,0)</f>
        <v>185</v>
      </c>
      <c r="J71" s="17">
        <f>IFERROR('Cashflow Data'!J5,0)</f>
        <v>-2213</v>
      </c>
      <c r="K71" s="17">
        <f>IFERROR('Cashflow Data'!K5,0)</f>
        <v>-1876</v>
      </c>
      <c r="L71" s="17">
        <f>IFERROR('Cashflow Data'!L5,0)</f>
        <v>3573</v>
      </c>
      <c r="M71" s="17">
        <f>IFERROR('Cashflow Data'!M5,0)</f>
        <v>0</v>
      </c>
    </row>
    <row r="72" spans="1:13" x14ac:dyDescent="0.3">
      <c r="B72" t="s">
        <v>29</v>
      </c>
      <c r="C72" s="17">
        <f>IFERROR('Cashflow Data'!C6,0)</f>
        <v>-5743</v>
      </c>
      <c r="D72" s="17">
        <f>IFERROR('Cashflow Data'!D6,0)</f>
        <v>-6621</v>
      </c>
      <c r="E72" s="17">
        <f>IFERROR('Cashflow Data'!E6,0)</f>
        <v>-3560</v>
      </c>
      <c r="F72" s="17">
        <f>IFERROR('Cashflow Data'!F6,0)</f>
        <v>2069</v>
      </c>
      <c r="G72" s="17">
        <f>IFERROR('Cashflow Data'!G6,0)</f>
        <v>2326</v>
      </c>
      <c r="H72" s="17">
        <f>IFERROR('Cashflow Data'!H6,0)</f>
        <v>3814</v>
      </c>
      <c r="I72" s="17">
        <f>IFERROR('Cashflow Data'!I6,0)</f>
        <v>472</v>
      </c>
      <c r="J72" s="17">
        <f>IFERROR('Cashflow Data'!J6,0)</f>
        <v>-5665</v>
      </c>
      <c r="K72" s="17">
        <f>IFERROR('Cashflow Data'!K6,0)</f>
        <v>-7265</v>
      </c>
      <c r="L72" s="17">
        <f>IFERROR('Cashflow Data'!L6,0)</f>
        <v>2127</v>
      </c>
      <c r="M72" s="17">
        <f>IFERROR('Cashflow Data'!M6,0)</f>
        <v>0</v>
      </c>
    </row>
    <row r="73" spans="1:13" x14ac:dyDescent="0.3">
      <c r="B73" t="s">
        <v>91</v>
      </c>
      <c r="C73" s="17">
        <f>IFERROR('Cashflow Data'!C7,0)</f>
        <v>3947</v>
      </c>
      <c r="D73" s="17">
        <f>IFERROR('Cashflow Data'!D7,0)</f>
        <v>9301</v>
      </c>
      <c r="E73" s="17">
        <f>IFERROR('Cashflow Data'!E7,0)</f>
        <v>7320</v>
      </c>
      <c r="F73" s="17">
        <f>IFERROR('Cashflow Data'!F7,0)</f>
        <v>-4692</v>
      </c>
      <c r="G73" s="17">
        <f>IFERROR('Cashflow Data'!G7,0)</f>
        <v>-8085</v>
      </c>
      <c r="H73" s="17">
        <f>IFERROR('Cashflow Data'!H7,0)</f>
        <v>5748</v>
      </c>
      <c r="I73" s="17">
        <f>IFERROR('Cashflow Data'!I7,0)</f>
        <v>-7012</v>
      </c>
      <c r="J73" s="17">
        <f>IFERROR('Cashflow Data'!J7,0)</f>
        <v>6945</v>
      </c>
      <c r="K73" s="17">
        <f>IFERROR('Cashflow Data'!K7,0)</f>
        <v>13706</v>
      </c>
      <c r="L73" s="17">
        <f>IFERROR('Cashflow Data'!L7,0)</f>
        <v>1303</v>
      </c>
      <c r="M73" s="17">
        <f>IFERROR('Cashflow Data'!M7,0)</f>
        <v>0</v>
      </c>
    </row>
    <row r="74" spans="1:13" x14ac:dyDescent="0.3">
      <c r="B74" t="s">
        <v>92</v>
      </c>
      <c r="C74" s="17">
        <f>IFERROR('Cashflow Data'!C8,0)</f>
        <v>-520</v>
      </c>
      <c r="D74" s="17">
        <f>IFERROR('Cashflow Data'!D8,0)</f>
        <v>0</v>
      </c>
      <c r="E74" s="17">
        <f>IFERROR('Cashflow Data'!E8,0)</f>
        <v>0</v>
      </c>
      <c r="F74" s="17">
        <f>IFERROR('Cashflow Data'!F8,0)</f>
        <v>0</v>
      </c>
      <c r="G74" s="17">
        <f>IFERROR('Cashflow Data'!G8,0)</f>
        <v>0</v>
      </c>
      <c r="H74" s="17">
        <f>IFERROR('Cashflow Data'!H8,0)</f>
        <v>0</v>
      </c>
      <c r="I74" s="17">
        <f>IFERROR('Cashflow Data'!I8,0)</f>
        <v>0</v>
      </c>
      <c r="J74" s="17">
        <f>IFERROR('Cashflow Data'!J8,0)</f>
        <v>0</v>
      </c>
      <c r="K74" s="17">
        <f>IFERROR('Cashflow Data'!K8,0)</f>
        <v>0</v>
      </c>
      <c r="L74" s="17">
        <f>IFERROR('Cashflow Data'!L8,0)</f>
        <v>0</v>
      </c>
      <c r="M74" s="17">
        <f>IFERROR('Cashflow Data'!M8,0)</f>
        <v>0</v>
      </c>
    </row>
    <row r="75" spans="1:13" x14ac:dyDescent="0.3">
      <c r="B75" t="s">
        <v>93</v>
      </c>
      <c r="C75" s="17">
        <f>IFERROR('Cashflow Data'!C9,0)</f>
        <v>5852</v>
      </c>
      <c r="D75" s="17">
        <f>IFERROR('Cashflow Data'!D9,0)</f>
        <v>4727</v>
      </c>
      <c r="E75" s="17">
        <f>IFERROR('Cashflow Data'!E9,0)</f>
        <v>494</v>
      </c>
      <c r="F75" s="17">
        <f>IFERROR('Cashflow Data'!F9,0)</f>
        <v>4512</v>
      </c>
      <c r="G75" s="17">
        <f>IFERROR('Cashflow Data'!G9,0)</f>
        <v>875</v>
      </c>
      <c r="H75" s="17">
        <f>IFERROR('Cashflow Data'!H9,0)</f>
        <v>-4150</v>
      </c>
      <c r="I75" s="17">
        <f>IFERROR('Cashflow Data'!I9,0)</f>
        <v>-4396</v>
      </c>
      <c r="J75" s="17">
        <f>IFERROR('Cashflow Data'!J9,0)</f>
        <v>-2194</v>
      </c>
      <c r="K75" s="17">
        <f>IFERROR('Cashflow Data'!K9,0)</f>
        <v>2760</v>
      </c>
      <c r="L75" s="17">
        <f>IFERROR('Cashflow Data'!L9,0)</f>
        <v>1153</v>
      </c>
      <c r="M75" s="17">
        <f>IFERROR('Cashflow Data'!M9,0)</f>
        <v>0</v>
      </c>
    </row>
    <row r="76" spans="1:13" x14ac:dyDescent="0.3">
      <c r="B76" t="s">
        <v>95</v>
      </c>
      <c r="C76" s="17">
        <f>IFERROR('Cashflow Data'!C11,0)</f>
        <v>-2040</v>
      </c>
      <c r="D76" s="17">
        <f>IFERROR('Cashflow Data'!D11,0)</f>
        <v>-1895</v>
      </c>
      <c r="E76" s="17">
        <f>IFERROR('Cashflow Data'!E11,0)</f>
        <v>-3021</v>
      </c>
      <c r="F76" s="17">
        <f>IFERROR('Cashflow Data'!F11,0)</f>
        <v>-2659</v>
      </c>
      <c r="G76" s="17">
        <f>IFERROR('Cashflow Data'!G11,0)</f>
        <v>-1785</v>
      </c>
      <c r="H76" s="17">
        <f>IFERROR('Cashflow Data'!H11,0)</f>
        <v>-2105</v>
      </c>
      <c r="I76" s="17">
        <f>IFERROR('Cashflow Data'!I11,0)</f>
        <v>-1910</v>
      </c>
      <c r="J76" s="17">
        <f>IFERROR('Cashflow Data'!J11,0)</f>
        <v>-3179</v>
      </c>
      <c r="K76" s="17">
        <f>IFERROR('Cashflow Data'!K11,0)</f>
        <v>-4516</v>
      </c>
      <c r="L76" s="17">
        <f>IFERROR('Cashflow Data'!L11,0)</f>
        <v>-3991</v>
      </c>
      <c r="M76" s="17">
        <f>IFERROR('Cashflow Data'!M11,0)</f>
        <v>0</v>
      </c>
    </row>
    <row r="77" spans="1:13" x14ac:dyDescent="0.3">
      <c r="B77" s="26" t="s">
        <v>117</v>
      </c>
      <c r="C77" s="27">
        <f t="shared" ref="C77:M77" si="23">SUM(C70:C76)</f>
        <v>37899</v>
      </c>
      <c r="D77" s="27">
        <f t="shared" si="23"/>
        <v>30200</v>
      </c>
      <c r="E77" s="27">
        <f t="shared" si="23"/>
        <v>23857</v>
      </c>
      <c r="F77" s="27">
        <f t="shared" si="23"/>
        <v>18892</v>
      </c>
      <c r="G77" s="27">
        <f t="shared" si="23"/>
        <v>26633</v>
      </c>
      <c r="H77" s="27">
        <f t="shared" si="23"/>
        <v>29000</v>
      </c>
      <c r="I77" s="27">
        <f t="shared" si="23"/>
        <v>14282</v>
      </c>
      <c r="J77" s="27">
        <f t="shared" si="23"/>
        <v>35388</v>
      </c>
      <c r="K77" s="27">
        <f t="shared" si="23"/>
        <v>67915</v>
      </c>
      <c r="L77" s="27">
        <f t="shared" si="23"/>
        <v>63102</v>
      </c>
      <c r="M77" s="27">
        <f t="shared" si="23"/>
        <v>0</v>
      </c>
    </row>
    <row r="79" spans="1:13" x14ac:dyDescent="0.3">
      <c r="B79" s="24" t="s">
        <v>96</v>
      </c>
    </row>
    <row r="80" spans="1:13" x14ac:dyDescent="0.3">
      <c r="B80" t="s">
        <v>97</v>
      </c>
      <c r="C80" s="17">
        <f>IFERROR('Cashflow Data'!C13,0)</f>
        <v>-31503</v>
      </c>
      <c r="D80" s="17">
        <f>IFERROR('Cashflow Data'!D13,0)</f>
        <v>-16072</v>
      </c>
      <c r="E80" s="17">
        <f>IFERROR('Cashflow Data'!E13,0)</f>
        <v>-35079</v>
      </c>
      <c r="F80" s="17">
        <f>IFERROR('Cashflow Data'!F13,0)</f>
        <v>-35304</v>
      </c>
      <c r="G80" s="17">
        <f>IFERROR('Cashflow Data'!G13,0)</f>
        <v>-29702</v>
      </c>
      <c r="H80" s="17">
        <f>IFERROR('Cashflow Data'!H13,0)</f>
        <v>-20205</v>
      </c>
      <c r="I80" s="17">
        <f>IFERROR('Cashflow Data'!I13,0)</f>
        <v>-15168</v>
      </c>
      <c r="J80" s="17">
        <f>IFERROR('Cashflow Data'!J13,0)</f>
        <v>-19230</v>
      </c>
      <c r="K80" s="17">
        <f>IFERROR('Cashflow Data'!K13,0)</f>
        <v>-31414</v>
      </c>
      <c r="L80" s="17">
        <f>IFERROR('Cashflow Data'!L13,0)</f>
        <v>-38042</v>
      </c>
      <c r="M80" s="17">
        <f>IFERROR('Cashflow Data'!M13,0)</f>
        <v>0</v>
      </c>
    </row>
    <row r="81" spans="2:13" x14ac:dyDescent="0.3">
      <c r="B81" t="s">
        <v>98</v>
      </c>
      <c r="C81" s="17">
        <f>IFERROR('Cashflow Data'!C14,0)</f>
        <v>59</v>
      </c>
      <c r="D81" s="17">
        <f>IFERROR('Cashflow Data'!D14,0)</f>
        <v>53</v>
      </c>
      <c r="E81" s="17">
        <f>IFERROR('Cashflow Data'!E14,0)</f>
        <v>30</v>
      </c>
      <c r="F81" s="17">
        <f>IFERROR('Cashflow Data'!F14,0)</f>
        <v>67</v>
      </c>
      <c r="G81" s="17">
        <f>IFERROR('Cashflow Data'!G14,0)</f>
        <v>171</v>
      </c>
      <c r="H81" s="17">
        <f>IFERROR('Cashflow Data'!H14,0)</f>
        <v>351</v>
      </c>
      <c r="I81" s="17">
        <f>IFERROR('Cashflow Data'!I14,0)</f>
        <v>230</v>
      </c>
      <c r="J81" s="17">
        <f>IFERROR('Cashflow Data'!J14,0)</f>
        <v>285</v>
      </c>
      <c r="K81" s="17">
        <f>IFERROR('Cashflow Data'!K14,0)</f>
        <v>231</v>
      </c>
      <c r="L81" s="17">
        <f>IFERROR('Cashflow Data'!L14,0)</f>
        <v>974</v>
      </c>
      <c r="M81" s="17">
        <f>IFERROR('Cashflow Data'!M14,0)</f>
        <v>0</v>
      </c>
    </row>
    <row r="82" spans="2:13" x14ac:dyDescent="0.3">
      <c r="B82" t="s">
        <v>99</v>
      </c>
      <c r="C82" s="17">
        <f>IFERROR('Cashflow Data'!C15,0)</f>
        <v>-4728</v>
      </c>
      <c r="D82" s="17">
        <f>IFERROR('Cashflow Data'!D15,0)</f>
        <v>-6</v>
      </c>
      <c r="E82" s="17">
        <f>IFERROR('Cashflow Data'!E15,0)</f>
        <v>-329</v>
      </c>
      <c r="F82" s="17">
        <f>IFERROR('Cashflow Data'!F15,0)</f>
        <v>-130</v>
      </c>
      <c r="G82" s="17">
        <f>IFERROR('Cashflow Data'!G15,0)</f>
        <v>-1439</v>
      </c>
      <c r="H82" s="17">
        <f>IFERROR('Cashflow Data'!H15,0)</f>
        <v>-7530</v>
      </c>
      <c r="I82" s="17">
        <f>IFERROR('Cashflow Data'!I15,0)</f>
        <v>-3008</v>
      </c>
      <c r="J82" s="17">
        <f>IFERROR('Cashflow Data'!J15,0)</f>
        <v>-50</v>
      </c>
      <c r="K82" s="17">
        <f>IFERROR('Cashflow Data'!K15,0)</f>
        <v>-74</v>
      </c>
      <c r="L82" s="17">
        <f>IFERROR('Cashflow Data'!L15,0)</f>
        <v>-12677</v>
      </c>
      <c r="M82" s="17">
        <f>IFERROR('Cashflow Data'!M15,0)</f>
        <v>0</v>
      </c>
    </row>
    <row r="83" spans="2:13" x14ac:dyDescent="0.3">
      <c r="B83" t="s">
        <v>100</v>
      </c>
      <c r="C83" s="17">
        <f>IFERROR('Cashflow Data'!C16,0)</f>
        <v>89</v>
      </c>
      <c r="D83" s="17">
        <f>IFERROR('Cashflow Data'!D16,0)</f>
        <v>1965</v>
      </c>
      <c r="E83" s="17">
        <f>IFERROR('Cashflow Data'!E16,0)</f>
        <v>2381</v>
      </c>
      <c r="F83" s="17">
        <f>IFERROR('Cashflow Data'!F16,0)</f>
        <v>5644</v>
      </c>
      <c r="G83" s="17">
        <f>IFERROR('Cashflow Data'!G16,0)</f>
        <v>21</v>
      </c>
      <c r="H83" s="17">
        <f>IFERROR('Cashflow Data'!H16,0)</f>
        <v>226</v>
      </c>
      <c r="I83" s="17">
        <f>IFERROR('Cashflow Data'!I16,0)</f>
        <v>104</v>
      </c>
      <c r="J83" s="17">
        <f>IFERROR('Cashflow Data'!J16,0)</f>
        <v>6895</v>
      </c>
      <c r="K83" s="17">
        <f>IFERROR('Cashflow Data'!K16,0)</f>
        <v>10821</v>
      </c>
      <c r="L83" s="17">
        <f>IFERROR('Cashflow Data'!L16,0)</f>
        <v>111</v>
      </c>
      <c r="M83" s="17">
        <f>IFERROR('Cashflow Data'!M16,0)</f>
        <v>0</v>
      </c>
    </row>
    <row r="84" spans="2:13" x14ac:dyDescent="0.3">
      <c r="B84" t="s">
        <v>101</v>
      </c>
      <c r="C84" s="17">
        <f>IFERROR('Cashflow Data'!C17,0)</f>
        <v>731</v>
      </c>
      <c r="D84" s="17">
        <f>IFERROR('Cashflow Data'!D17,0)</f>
        <v>638</v>
      </c>
      <c r="E84" s="17">
        <f>IFERROR('Cashflow Data'!E17,0)</f>
        <v>690</v>
      </c>
      <c r="F84" s="17">
        <f>IFERROR('Cashflow Data'!F17,0)</f>
        <v>761</v>
      </c>
      <c r="G84" s="17">
        <f>IFERROR('Cashflow Data'!G17,0)</f>
        <v>1104</v>
      </c>
      <c r="H84" s="17">
        <f>IFERROR('Cashflow Data'!H17,0)</f>
        <v>428</v>
      </c>
      <c r="I84" s="17">
        <f>IFERROR('Cashflow Data'!I17,0)</f>
        <v>653</v>
      </c>
      <c r="J84" s="17">
        <f>IFERROR('Cashflow Data'!J17,0)</f>
        <v>973</v>
      </c>
      <c r="K84" s="17">
        <f>IFERROR('Cashflow Data'!K17,0)</f>
        <v>2493</v>
      </c>
      <c r="L84" s="17">
        <f>IFERROR('Cashflow Data'!L17,0)</f>
        <v>2420</v>
      </c>
      <c r="M84" s="17">
        <f>IFERROR('Cashflow Data'!M17,0)</f>
        <v>0</v>
      </c>
    </row>
    <row r="85" spans="2:13" x14ac:dyDescent="0.3">
      <c r="B85" t="s">
        <v>102</v>
      </c>
      <c r="C85" s="17">
        <f>IFERROR('Cashflow Data'!C18,0)</f>
        <v>58</v>
      </c>
      <c r="D85" s="17">
        <f>IFERROR('Cashflow Data'!D18,0)</f>
        <v>620</v>
      </c>
      <c r="E85" s="17">
        <f>IFERROR('Cashflow Data'!E18,0)</f>
        <v>1797</v>
      </c>
      <c r="F85" s="17">
        <f>IFERROR('Cashflow Data'!F18,0)</f>
        <v>232</v>
      </c>
      <c r="G85" s="17">
        <f>IFERROR('Cashflow Data'!G18,0)</f>
        <v>21</v>
      </c>
      <c r="H85" s="17">
        <f>IFERROR('Cashflow Data'!H18,0)</f>
        <v>18</v>
      </c>
      <c r="I85" s="17">
        <f>IFERROR('Cashflow Data'!I18,0)</f>
        <v>32</v>
      </c>
      <c r="J85" s="17">
        <f>IFERROR('Cashflow Data'!J18,0)</f>
        <v>46</v>
      </c>
      <c r="K85" s="17">
        <f>IFERROR('Cashflow Data'!K18,0)</f>
        <v>47</v>
      </c>
      <c r="L85" s="17">
        <f>IFERROR('Cashflow Data'!L18,0)</f>
        <v>64</v>
      </c>
      <c r="M85" s="17">
        <f>IFERROR('Cashflow Data'!M18,0)</f>
        <v>0</v>
      </c>
    </row>
    <row r="86" spans="2:13" x14ac:dyDescent="0.3">
      <c r="B86" t="s">
        <v>103</v>
      </c>
      <c r="C86" s="17">
        <f>IFERROR('Cashflow Data'!C19,0)</f>
        <v>0</v>
      </c>
      <c r="D86" s="17">
        <f>IFERROR('Cashflow Data'!D19,0)</f>
        <v>-107</v>
      </c>
      <c r="E86" s="17">
        <f>IFERROR('Cashflow Data'!E19,0)</f>
        <v>-4</v>
      </c>
      <c r="F86" s="17">
        <f>IFERROR('Cashflow Data'!F19,0)</f>
        <v>-9</v>
      </c>
      <c r="G86" s="17">
        <f>IFERROR('Cashflow Data'!G19,0)</f>
        <v>-606</v>
      </c>
      <c r="H86" s="17">
        <f>IFERROR('Cashflow Data'!H19,0)</f>
        <v>-10</v>
      </c>
      <c r="I86" s="17">
        <f>IFERROR('Cashflow Data'!I19,0)</f>
        <v>0</v>
      </c>
      <c r="J86" s="17">
        <f>IFERROR('Cashflow Data'!J19,0)</f>
        <v>0</v>
      </c>
      <c r="K86" s="17">
        <f>IFERROR('Cashflow Data'!K19,0)</f>
        <v>-150</v>
      </c>
      <c r="L86" s="17">
        <f>IFERROR('Cashflow Data'!L19,0)</f>
        <v>0</v>
      </c>
      <c r="M86" s="17">
        <f>IFERROR('Cashflow Data'!M19,0)</f>
        <v>0</v>
      </c>
    </row>
    <row r="87" spans="2:13" x14ac:dyDescent="0.3">
      <c r="B87" t="s">
        <v>104</v>
      </c>
      <c r="C87" s="17">
        <f>IFERROR('Cashflow Data'!C20,0)</f>
        <v>0</v>
      </c>
      <c r="D87" s="17">
        <f>IFERROR('Cashflow Data'!D20,0)</f>
        <v>0</v>
      </c>
      <c r="E87" s="17">
        <f>IFERROR('Cashflow Data'!E20,0)</f>
        <v>14</v>
      </c>
      <c r="F87" s="17">
        <f>IFERROR('Cashflow Data'!F20,0)</f>
        <v>533</v>
      </c>
      <c r="G87" s="17">
        <f>IFERROR('Cashflow Data'!G20,0)</f>
        <v>0</v>
      </c>
      <c r="H87" s="17">
        <f>IFERROR('Cashflow Data'!H20,0)</f>
        <v>0</v>
      </c>
      <c r="I87" s="17">
        <f>IFERROR('Cashflow Data'!I20,0)</f>
        <v>0</v>
      </c>
      <c r="J87" s="17">
        <f>IFERROR('Cashflow Data'!J20,0)</f>
        <v>19</v>
      </c>
      <c r="K87" s="17">
        <f>IFERROR('Cashflow Data'!K20,0)</f>
        <v>107</v>
      </c>
      <c r="L87" s="17">
        <f>IFERROR('Cashflow Data'!L20,0)</f>
        <v>765</v>
      </c>
      <c r="M87" s="17">
        <f>IFERROR('Cashflow Data'!M20,0)</f>
        <v>0</v>
      </c>
    </row>
    <row r="88" spans="2:13" x14ac:dyDescent="0.3">
      <c r="B88" t="s">
        <v>105</v>
      </c>
      <c r="C88" s="17">
        <f>IFERROR('Cashflow Data'!C21,0)</f>
        <v>-111</v>
      </c>
      <c r="D88" s="17">
        <f>IFERROR('Cashflow Data'!D21,0)</f>
        <v>0</v>
      </c>
      <c r="E88" s="17">
        <f>IFERROR('Cashflow Data'!E21,0)</f>
        <v>0</v>
      </c>
      <c r="F88" s="17">
        <f>IFERROR('Cashflow Data'!F21,0)</f>
        <v>-8</v>
      </c>
      <c r="G88" s="17">
        <f>IFERROR('Cashflow Data'!G21,0)</f>
        <v>-27</v>
      </c>
      <c r="H88" s="17">
        <f>IFERROR('Cashflow Data'!H21,0)</f>
        <v>0</v>
      </c>
      <c r="I88" s="17">
        <f>IFERROR('Cashflow Data'!I21,0)</f>
        <v>-98</v>
      </c>
      <c r="J88" s="17">
        <f>IFERROR('Cashflow Data'!J21,0)</f>
        <v>0</v>
      </c>
      <c r="K88" s="17">
        <f>IFERROR('Cashflow Data'!K21,0)</f>
        <v>0</v>
      </c>
      <c r="L88" s="17">
        <f>IFERROR('Cashflow Data'!L21,0)</f>
        <v>-688</v>
      </c>
      <c r="M88" s="17">
        <f>IFERROR('Cashflow Data'!M21,0)</f>
        <v>0</v>
      </c>
    </row>
    <row r="89" spans="2:13" x14ac:dyDescent="0.3">
      <c r="B89" t="s">
        <v>106</v>
      </c>
      <c r="C89" s="17">
        <f>IFERROR('Cashflow Data'!C22,0)</f>
        <v>0</v>
      </c>
      <c r="D89" s="17">
        <f>IFERROR('Cashflow Data'!D22,0)</f>
        <v>0</v>
      </c>
      <c r="E89" s="17">
        <f>IFERROR('Cashflow Data'!E22,0)</f>
        <v>0</v>
      </c>
      <c r="F89" s="17">
        <f>IFERROR('Cashflow Data'!F22,0)</f>
        <v>0</v>
      </c>
      <c r="G89" s="17">
        <f>IFERROR('Cashflow Data'!G22,0)</f>
        <v>0</v>
      </c>
      <c r="H89" s="17">
        <f>IFERROR('Cashflow Data'!H22,0)</f>
        <v>0</v>
      </c>
      <c r="I89" s="17">
        <f>IFERROR('Cashflow Data'!I22,0)</f>
        <v>0</v>
      </c>
      <c r="J89" s="17">
        <f>IFERROR('Cashflow Data'!J22,0)</f>
        <v>0</v>
      </c>
      <c r="K89" s="17">
        <f>IFERROR('Cashflow Data'!K22,0)</f>
        <v>-25</v>
      </c>
      <c r="L89" s="17">
        <f>IFERROR('Cashflow Data'!L22,0)</f>
        <v>-20</v>
      </c>
      <c r="M89" s="17">
        <f>IFERROR('Cashflow Data'!M22,0)</f>
        <v>0</v>
      </c>
    </row>
    <row r="90" spans="2:13" x14ac:dyDescent="0.3">
      <c r="B90" t="s">
        <v>107</v>
      </c>
      <c r="C90" s="17">
        <f>IFERROR('Cashflow Data'!C23,0)</f>
        <v>-1289</v>
      </c>
      <c r="D90" s="17">
        <f>IFERROR('Cashflow Data'!D23,0)</f>
        <v>-26663</v>
      </c>
      <c r="E90" s="17">
        <f>IFERROR('Cashflow Data'!E23,0)</f>
        <v>5360</v>
      </c>
      <c r="F90" s="17">
        <f>IFERROR('Cashflow Data'!F23,0)</f>
        <v>7335</v>
      </c>
      <c r="G90" s="17">
        <f>IFERROR('Cashflow Data'!G23,0)</f>
        <v>-2659</v>
      </c>
      <c r="H90" s="17">
        <f>IFERROR('Cashflow Data'!H23,0)</f>
        <v>1051</v>
      </c>
      <c r="I90" s="17">
        <f>IFERROR('Cashflow Data'!I23,0)</f>
        <v>12813</v>
      </c>
      <c r="J90" s="17">
        <f>IFERROR('Cashflow Data'!J23,0)</f>
        <v>-4357</v>
      </c>
      <c r="K90" s="17">
        <f>IFERROR('Cashflow Data'!K23,0)</f>
        <v>-4817</v>
      </c>
      <c r="L90" s="17">
        <f>IFERROR('Cashflow Data'!L23,0)</f>
        <v>-2889</v>
      </c>
      <c r="M90" s="17">
        <f>IFERROR('Cashflow Data'!M23,0)</f>
        <v>0</v>
      </c>
    </row>
    <row r="91" spans="2:13" x14ac:dyDescent="0.3">
      <c r="B91" s="26" t="s">
        <v>118</v>
      </c>
      <c r="C91" s="27">
        <f>SUM(C80:C90)</f>
        <v>-36694</v>
      </c>
      <c r="D91" s="27">
        <f t="shared" ref="D91:M91" si="24">SUM(D80:D90)</f>
        <v>-39572</v>
      </c>
      <c r="E91" s="27">
        <f t="shared" si="24"/>
        <v>-25140</v>
      </c>
      <c r="F91" s="27">
        <f t="shared" si="24"/>
        <v>-20879</v>
      </c>
      <c r="G91" s="27">
        <f t="shared" si="24"/>
        <v>-33116</v>
      </c>
      <c r="H91" s="27">
        <f t="shared" si="24"/>
        <v>-25671</v>
      </c>
      <c r="I91" s="27">
        <f t="shared" si="24"/>
        <v>-4442</v>
      </c>
      <c r="J91" s="27">
        <f t="shared" si="24"/>
        <v>-15419</v>
      </c>
      <c r="K91" s="27">
        <f t="shared" si="24"/>
        <v>-22781</v>
      </c>
      <c r="L91" s="27">
        <f t="shared" si="24"/>
        <v>-49982</v>
      </c>
      <c r="M91" s="27">
        <f t="shared" si="24"/>
        <v>0</v>
      </c>
    </row>
    <row r="92" spans="2:13" x14ac:dyDescent="0.3">
      <c r="B92" s="24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2:13" x14ac:dyDescent="0.3">
      <c r="B93" s="24" t="s">
        <v>108</v>
      </c>
    </row>
    <row r="94" spans="2:13" x14ac:dyDescent="0.3">
      <c r="B94" t="s">
        <v>109</v>
      </c>
      <c r="C94" s="17">
        <f>IFERROR('Cashflow Data'!C25,0)</f>
        <v>7433</v>
      </c>
      <c r="D94" s="17">
        <f>IFERROR('Cashflow Data'!D25,0)</f>
        <v>5</v>
      </c>
      <c r="E94" s="17">
        <f>IFERROR('Cashflow Data'!E25,0)</f>
        <v>0</v>
      </c>
      <c r="F94" s="17">
        <f>IFERROR('Cashflow Data'!F25,0)</f>
        <v>0</v>
      </c>
      <c r="G94" s="17">
        <f>IFERROR('Cashflow Data'!G25,0)</f>
        <v>3889</v>
      </c>
      <c r="H94" s="17">
        <f>IFERROR('Cashflow Data'!H25,0)</f>
        <v>2603</v>
      </c>
      <c r="I94" s="17">
        <f>IFERROR('Cashflow Data'!I25,0)</f>
        <v>19</v>
      </c>
      <c r="J94" s="17">
        <f>IFERROR('Cashflow Data'!J25,0)</f>
        <v>20</v>
      </c>
      <c r="K94" s="17">
        <f>IFERROR('Cashflow Data'!K25,0)</f>
        <v>82</v>
      </c>
      <c r="L94" s="17">
        <f>IFERROR('Cashflow Data'!L25,0)</f>
        <v>1108</v>
      </c>
      <c r="M94" s="17">
        <f>IFERROR('Cashflow Data'!M25,0)</f>
        <v>0</v>
      </c>
    </row>
    <row r="95" spans="2:13" x14ac:dyDescent="0.3">
      <c r="B95" t="s">
        <v>110</v>
      </c>
      <c r="C95" s="17">
        <f>IFERROR('Cashflow Data'!C26,0)</f>
        <v>0</v>
      </c>
      <c r="D95" s="17">
        <f>IFERROR('Cashflow Data'!D26,0)</f>
        <v>0</v>
      </c>
      <c r="E95" s="17">
        <f>IFERROR('Cashflow Data'!E26,0)</f>
        <v>0</v>
      </c>
      <c r="F95" s="17">
        <f>IFERROR('Cashflow Data'!F26,0)</f>
        <v>0</v>
      </c>
      <c r="G95" s="17">
        <f>IFERROR('Cashflow Data'!G26,0)</f>
        <v>0</v>
      </c>
      <c r="H95" s="17">
        <f>IFERROR('Cashflow Data'!H26,0)</f>
        <v>0</v>
      </c>
      <c r="I95" s="17">
        <f>IFERROR('Cashflow Data'!I26,0)</f>
        <v>0</v>
      </c>
      <c r="J95" s="17">
        <f>IFERROR('Cashflow Data'!J26,0)</f>
        <v>0</v>
      </c>
      <c r="K95" s="17">
        <f>IFERROR('Cashflow Data'!K26,0)</f>
        <v>0</v>
      </c>
      <c r="L95" s="17">
        <f>IFERROR('Cashflow Data'!L26,0)</f>
        <v>0</v>
      </c>
      <c r="M95" s="17">
        <f>IFERROR('Cashflow Data'!M26,0)</f>
        <v>0</v>
      </c>
    </row>
    <row r="96" spans="2:13" x14ac:dyDescent="0.3">
      <c r="B96" t="s">
        <v>111</v>
      </c>
      <c r="C96" s="17">
        <f>IFERROR('Cashflow Data'!C27,0)</f>
        <v>19519</v>
      </c>
      <c r="D96" s="17">
        <f>IFERROR('Cashflow Data'!D27,0)</f>
        <v>33390</v>
      </c>
      <c r="E96" s="17">
        <f>IFERROR('Cashflow Data'!E27,0)</f>
        <v>37482</v>
      </c>
      <c r="F96" s="17">
        <f>IFERROR('Cashflow Data'!F27,0)</f>
        <v>51128</v>
      </c>
      <c r="G96" s="17">
        <f>IFERROR('Cashflow Data'!G27,0)</f>
        <v>38297</v>
      </c>
      <c r="H96" s="17">
        <f>IFERROR('Cashflow Data'!H27,0)</f>
        <v>46641</v>
      </c>
      <c r="I96" s="17">
        <f>IFERROR('Cashflow Data'!I27,0)</f>
        <v>46578</v>
      </c>
      <c r="J96" s="17">
        <f>IFERROR('Cashflow Data'!J27,0)</f>
        <v>43934</v>
      </c>
      <c r="K96" s="17">
        <f>IFERROR('Cashflow Data'!K27,0)</f>
        <v>18829</v>
      </c>
      <c r="L96" s="17">
        <f>IFERROR('Cashflow Data'!L27,0)</f>
        <v>13384</v>
      </c>
      <c r="M96" s="17">
        <f>IFERROR('Cashflow Data'!M27,0)</f>
        <v>0</v>
      </c>
    </row>
    <row r="97" spans="2:13" x14ac:dyDescent="0.3">
      <c r="B97" t="s">
        <v>112</v>
      </c>
      <c r="C97" s="17">
        <f>IFERROR('Cashflow Data'!C28,0)</f>
        <v>-24924</v>
      </c>
      <c r="D97" s="17">
        <f>IFERROR('Cashflow Data'!D28,0)</f>
        <v>-21732</v>
      </c>
      <c r="E97" s="17">
        <f>IFERROR('Cashflow Data'!E28,0)</f>
        <v>-29964</v>
      </c>
      <c r="F97" s="17">
        <f>IFERROR('Cashflow Data'!F28,0)</f>
        <v>-35198</v>
      </c>
      <c r="G97" s="17">
        <f>IFERROR('Cashflow Data'!G28,0)</f>
        <v>-29847</v>
      </c>
      <c r="H97" s="17">
        <f>IFERROR('Cashflow Data'!H28,0)</f>
        <v>-29709</v>
      </c>
      <c r="I97" s="17">
        <f>IFERROR('Cashflow Data'!I28,0)</f>
        <v>-42816</v>
      </c>
      <c r="J97" s="17">
        <f>IFERROR('Cashflow Data'!J28,0)</f>
        <v>-62557</v>
      </c>
      <c r="K97" s="17">
        <f>IFERROR('Cashflow Data'!K28,0)</f>
        <v>-47414</v>
      </c>
      <c r="L97" s="17">
        <f>IFERROR('Cashflow Data'!L28,0)</f>
        <v>-21443</v>
      </c>
      <c r="M97" s="17">
        <f>IFERROR('Cashflow Data'!M28,0)</f>
        <v>0</v>
      </c>
    </row>
    <row r="98" spans="2:13" x14ac:dyDescent="0.3">
      <c r="B98" t="s">
        <v>113</v>
      </c>
      <c r="C98" s="17">
        <f>IFERROR('Cashflow Data'!C29,0)</f>
        <v>-5716</v>
      </c>
      <c r="D98" s="17">
        <f>IFERROR('Cashflow Data'!D29,0)</f>
        <v>-5336</v>
      </c>
      <c r="E98" s="17">
        <f>IFERROR('Cashflow Data'!E29,0)</f>
        <v>-5411</v>
      </c>
      <c r="F98" s="17">
        <f>IFERROR('Cashflow Data'!F29,0)</f>
        <v>-7005</v>
      </c>
      <c r="G98" s="17">
        <f>IFERROR('Cashflow Data'!G29,0)</f>
        <v>-7518</v>
      </c>
      <c r="H98" s="17">
        <f>IFERROR('Cashflow Data'!H29,0)</f>
        <v>-8123</v>
      </c>
      <c r="I98" s="17">
        <f>IFERROR('Cashflow Data'!I29,0)</f>
        <v>-9251</v>
      </c>
      <c r="J98" s="17">
        <f>IFERROR('Cashflow Data'!J29,0)</f>
        <v>-9336</v>
      </c>
      <c r="K98" s="17">
        <f>IFERROR('Cashflow Data'!K29,0)</f>
        <v>-9332</v>
      </c>
      <c r="L98" s="17">
        <f>IFERROR('Cashflow Data'!L29,0)</f>
        <v>-5814</v>
      </c>
      <c r="M98" s="17">
        <f>IFERROR('Cashflow Data'!M29,0)</f>
        <v>0</v>
      </c>
    </row>
    <row r="99" spans="2:13" x14ac:dyDescent="0.3">
      <c r="B99" t="s">
        <v>114</v>
      </c>
      <c r="C99" s="17">
        <f>IFERROR('Cashflow Data'!C30,0)</f>
        <v>-108</v>
      </c>
      <c r="D99" s="17">
        <f>IFERROR('Cashflow Data'!D30,0)</f>
        <v>-121</v>
      </c>
      <c r="E99" s="17">
        <f>IFERROR('Cashflow Data'!E30,0)</f>
        <v>-96</v>
      </c>
      <c r="F99" s="17">
        <f>IFERROR('Cashflow Data'!F30,0)</f>
        <v>-95</v>
      </c>
      <c r="G99" s="17">
        <f>IFERROR('Cashflow Data'!G30,0)</f>
        <v>-57</v>
      </c>
      <c r="H99" s="17">
        <f>IFERROR('Cashflow Data'!H30,0)</f>
        <v>-30</v>
      </c>
      <c r="I99" s="17">
        <f>IFERROR('Cashflow Data'!I30,0)</f>
        <v>-100</v>
      </c>
      <c r="J99" s="17">
        <f>IFERROR('Cashflow Data'!J30,0)</f>
        <v>-141</v>
      </c>
      <c r="K99" s="17">
        <f>IFERROR('Cashflow Data'!K30,0)</f>
        <v>-1059</v>
      </c>
      <c r="L99" s="17">
        <f>IFERROR('Cashflow Data'!L30,0)</f>
        <v>-2492</v>
      </c>
      <c r="M99" s="17">
        <f>IFERROR('Cashflow Data'!M30,0)</f>
        <v>0</v>
      </c>
    </row>
    <row r="100" spans="2:13" x14ac:dyDescent="0.3">
      <c r="B100" t="s">
        <v>115</v>
      </c>
      <c r="C100" s="17">
        <f>IFERROR('Cashflow Data'!C31,0)</f>
        <v>0</v>
      </c>
      <c r="D100" s="17">
        <f>IFERROR('Cashflow Data'!D31,0)</f>
        <v>0</v>
      </c>
      <c r="E100" s="17">
        <f>IFERROR('Cashflow Data'!E31,0)</f>
        <v>0</v>
      </c>
      <c r="F100" s="17">
        <f>IFERROR('Cashflow Data'!F31,0)</f>
        <v>0</v>
      </c>
      <c r="G100" s="17">
        <f>IFERROR('Cashflow Data'!G31,0)</f>
        <v>-1346</v>
      </c>
      <c r="H100" s="17">
        <f>IFERROR('Cashflow Data'!H31,0)</f>
        <v>-1477</v>
      </c>
      <c r="I100" s="17">
        <f>IFERROR('Cashflow Data'!I31,0)</f>
        <v>-1559</v>
      </c>
      <c r="J100" s="17">
        <f>IFERROR('Cashflow Data'!J31,0)</f>
        <v>-1517</v>
      </c>
      <c r="K100" s="17">
        <f>IFERROR('Cashflow Data'!K31,0)</f>
        <v>-1924</v>
      </c>
      <c r="L100" s="17">
        <f>IFERROR('Cashflow Data'!L31,0)</f>
        <v>-2393</v>
      </c>
      <c r="M100" s="17">
        <f>IFERROR('Cashflow Data'!M31,0)</f>
        <v>0</v>
      </c>
    </row>
    <row r="101" spans="2:13" x14ac:dyDescent="0.3">
      <c r="B101" t="s">
        <v>116</v>
      </c>
      <c r="C101" s="17">
        <f>IFERROR('Cashflow Data'!C32,0)</f>
        <v>0</v>
      </c>
      <c r="D101" s="17">
        <f>IFERROR('Cashflow Data'!D32,0)</f>
        <v>0</v>
      </c>
      <c r="E101" s="17">
        <f>IFERROR('Cashflow Data'!E32,0)</f>
        <v>0</v>
      </c>
      <c r="F101" s="17">
        <f>IFERROR('Cashflow Data'!F32,0)</f>
        <v>0</v>
      </c>
      <c r="G101" s="17">
        <f>IFERROR('Cashflow Data'!G32,0)</f>
        <v>-29</v>
      </c>
      <c r="H101" s="17">
        <f>IFERROR('Cashflow Data'!H32,0)</f>
        <v>0</v>
      </c>
      <c r="I101" s="17">
        <f>IFERROR('Cashflow Data'!I32,0)</f>
        <v>3750</v>
      </c>
      <c r="J101" s="17">
        <f>IFERROR('Cashflow Data'!J32,0)</f>
        <v>3355</v>
      </c>
      <c r="K101" s="17">
        <f>IFERROR('Cashflow Data'!K32,0)</f>
        <v>3812</v>
      </c>
      <c r="L101" s="17">
        <f>IFERROR('Cashflow Data'!L32,0)</f>
        <v>-1136</v>
      </c>
      <c r="M101" s="17">
        <f>IFERROR('Cashflow Data'!M32,0)</f>
        <v>0</v>
      </c>
    </row>
    <row r="102" spans="2:13" x14ac:dyDescent="0.3">
      <c r="B102" s="26" t="s">
        <v>119</v>
      </c>
      <c r="C102" s="27">
        <f t="shared" ref="C102:M102" si="25">SUM(C94:C101)</f>
        <v>-3796</v>
      </c>
      <c r="D102" s="27">
        <f t="shared" si="25"/>
        <v>6206</v>
      </c>
      <c r="E102" s="27">
        <f t="shared" si="25"/>
        <v>2011</v>
      </c>
      <c r="F102" s="27">
        <f t="shared" si="25"/>
        <v>8830</v>
      </c>
      <c r="G102" s="27">
        <f t="shared" si="25"/>
        <v>3389</v>
      </c>
      <c r="H102" s="27">
        <f t="shared" si="25"/>
        <v>9905</v>
      </c>
      <c r="I102" s="27">
        <f t="shared" si="25"/>
        <v>-3379</v>
      </c>
      <c r="J102" s="27">
        <f t="shared" si="25"/>
        <v>-26242</v>
      </c>
      <c r="K102" s="27">
        <f t="shared" si="25"/>
        <v>-37006</v>
      </c>
      <c r="L102" s="27">
        <f t="shared" si="25"/>
        <v>-18786</v>
      </c>
      <c r="M102" s="27">
        <f t="shared" si="25"/>
        <v>0</v>
      </c>
    </row>
    <row r="104" spans="2:13" x14ac:dyDescent="0.3">
      <c r="B104" s="26" t="s">
        <v>20</v>
      </c>
      <c r="C104" s="26">
        <f t="shared" ref="C104:M104" si="26">IFERROR(SUM(C102+C91+C77),0)</f>
        <v>-2591</v>
      </c>
      <c r="D104" s="26">
        <f t="shared" si="26"/>
        <v>-3166</v>
      </c>
      <c r="E104" s="26">
        <f t="shared" si="26"/>
        <v>728</v>
      </c>
      <c r="F104" s="26">
        <f t="shared" si="26"/>
        <v>6843</v>
      </c>
      <c r="G104" s="26">
        <f t="shared" si="26"/>
        <v>-3094</v>
      </c>
      <c r="H104" s="26">
        <f t="shared" si="26"/>
        <v>13234</v>
      </c>
      <c r="I104" s="26">
        <f t="shared" si="26"/>
        <v>6461</v>
      </c>
      <c r="J104" s="26">
        <f t="shared" si="26"/>
        <v>-6273</v>
      </c>
      <c r="K104" s="26">
        <f t="shared" si="26"/>
        <v>8128</v>
      </c>
      <c r="L104" s="26">
        <f t="shared" si="26"/>
        <v>-5666</v>
      </c>
      <c r="M104" s="26">
        <f t="shared" si="26"/>
        <v>0</v>
      </c>
    </row>
  </sheetData>
  <mergeCells count="1">
    <mergeCell ref="B2:M2"/>
  </mergeCells>
  <pageMargins left="0.7" right="0.7" top="0.75" bottom="0.75" header="0.3" footer="0.3"/>
  <ignoredErrors>
    <ignoredError sqref="M5 M8 C14:M14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0F240-9415-4F8E-B6B9-5D54420F5D01}">
  <sheetPr>
    <tabColor rgb="FF002060"/>
  </sheetPr>
  <dimension ref="B1:O41"/>
  <sheetViews>
    <sheetView showGridLines="0" tabSelected="1" zoomScale="104" zoomScaleNormal="110" workbookViewId="0">
      <pane ySplit="3" topLeftCell="A4" activePane="bottomLeft" state="frozen"/>
      <selection pane="bottomLeft" activeCell="C28" sqref="C28"/>
    </sheetView>
  </sheetViews>
  <sheetFormatPr defaultRowHeight="14.4" x14ac:dyDescent="0.3"/>
  <cols>
    <col min="1" max="1" width="1.88671875" customWidth="1"/>
    <col min="2" max="2" width="33" customWidth="1"/>
    <col min="3" max="12" width="12.77734375" customWidth="1"/>
    <col min="14" max="15" width="10.77734375" customWidth="1"/>
  </cols>
  <sheetData>
    <row r="1" spans="2:15" s="55" customFormat="1" x14ac:dyDescent="0.3"/>
    <row r="2" spans="2:15" s="55" customFormat="1" x14ac:dyDescent="0.3">
      <c r="B2" s="32" t="str">
        <f>"Ratio Analysis - "&amp;'Data Sheet'!B1</f>
        <v>Ratio Analysis - TATA MOTORS PASSENGER VEHICLES LTD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10"/>
      <c r="N2" s="56"/>
      <c r="O2" s="56"/>
    </row>
    <row r="3" spans="2:15" s="55" customFormat="1" x14ac:dyDescent="0.3">
      <c r="B3" s="8" t="s">
        <v>54</v>
      </c>
      <c r="C3" s="9">
        <f>'Data Sheet'!B16</f>
        <v>42460</v>
      </c>
      <c r="D3" s="9">
        <f>'Data Sheet'!C16</f>
        <v>42825</v>
      </c>
      <c r="E3" s="9">
        <f>'Data Sheet'!D16</f>
        <v>43190</v>
      </c>
      <c r="F3" s="9">
        <f>'Data Sheet'!E16</f>
        <v>43555</v>
      </c>
      <c r="G3" s="9">
        <f>'Data Sheet'!F16</f>
        <v>43921</v>
      </c>
      <c r="H3" s="9">
        <f>'Data Sheet'!G16</f>
        <v>44286</v>
      </c>
      <c r="I3" s="9">
        <f>'Data Sheet'!H16</f>
        <v>44651</v>
      </c>
      <c r="J3" s="9">
        <f>'Data Sheet'!I16</f>
        <v>45016</v>
      </c>
      <c r="K3" s="9">
        <f>'Data Sheet'!J16</f>
        <v>45382</v>
      </c>
      <c r="L3" s="9">
        <f>'Data Sheet'!K16</f>
        <v>45747</v>
      </c>
      <c r="M3" s="10" t="s">
        <v>153</v>
      </c>
      <c r="N3" s="10" t="s">
        <v>151</v>
      </c>
      <c r="O3" s="10" t="s">
        <v>152</v>
      </c>
    </row>
    <row r="4" spans="2:15" s="38" customFormat="1" ht="13.8" x14ac:dyDescent="0.25">
      <c r="B4" s="36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2:15" x14ac:dyDescent="0.3">
      <c r="B5" s="39" t="s">
        <v>58</v>
      </c>
      <c r="C5" s="40" t="s">
        <v>59</v>
      </c>
      <c r="D5" s="40">
        <f>IFERROR('Financials&gt;'!D6,0)</f>
        <v>-1.2280329732469508E-2</v>
      </c>
      <c r="E5" s="40">
        <f>IFERROR('Financials&gt;'!E6,0)</f>
        <v>8.104774581985974E-2</v>
      </c>
      <c r="F5" s="40">
        <f>IFERROR('Financials&gt;'!F6,0)</f>
        <v>3.5629919045237157E-2</v>
      </c>
      <c r="G5" s="40">
        <f>IFERROR('Financials&gt;'!G6,0)</f>
        <v>-0.135360159555724</v>
      </c>
      <c r="H5" s="40">
        <f>IFERROR('Financials&gt;'!H6,0)</f>
        <v>-4.3181168490336042E-2</v>
      </c>
      <c r="I5" s="40">
        <f>IFERROR('Financials&gt;'!I6,0)</f>
        <v>0.11472967306158344</v>
      </c>
      <c r="J5" s="40">
        <f>IFERROR('Financials&gt;'!J6,0)</f>
        <v>0.24245815155859707</v>
      </c>
      <c r="K5" s="40">
        <f>IFERROR('Financials&gt;'!K6,0)</f>
        <v>0.25450126062612277</v>
      </c>
      <c r="L5" s="40">
        <f>IFERROR('Financials&gt;'!L6,0)</f>
        <v>1.3084771068347711E-2</v>
      </c>
      <c r="M5" s="39"/>
      <c r="N5" s="44">
        <f>IFERROR(AVERAGE(D5:L5),0)</f>
        <v>6.1181095933468703E-2</v>
      </c>
      <c r="O5" s="44">
        <f>IFERROR(MEDIAN(D5:L5),0)</f>
        <v>3.5629919045237157E-2</v>
      </c>
    </row>
    <row r="6" spans="2:15" x14ac:dyDescent="0.3">
      <c r="B6" s="35" t="s">
        <v>120</v>
      </c>
      <c r="C6" s="41" t="s">
        <v>59</v>
      </c>
      <c r="D6" s="41">
        <f>IFERROR(('Financials&gt;'!C17-'Financials&gt;'!D17)/'Financials&gt;'!C17,0)</f>
        <v>0.22936587208052903</v>
      </c>
      <c r="E6" s="41">
        <f>IFERROR(('Financials&gt;'!D17-'Financials&gt;'!E17)/'Financials&gt;'!D17,0)</f>
        <v>-6.3165689322506144E-2</v>
      </c>
      <c r="F6" s="41">
        <f>IFERROR(('Financials&gt;'!E17-'Financials&gt;'!F17)/'Financials&gt;'!E17,0)</f>
        <v>0.21595203460649262</v>
      </c>
      <c r="G6" s="41">
        <f>IFERROR(('Financials&gt;'!F17-'Financials&gt;'!G17)/'Financials&gt;'!F17,0)</f>
        <v>0.27072537547138131</v>
      </c>
      <c r="H6" s="41">
        <f>IFERROR(('Financials&gt;'!G17-'Financials&gt;'!H17)/'Financials&gt;'!G17,0)</f>
        <v>-0.79503554497758977</v>
      </c>
      <c r="I6" s="41">
        <f>IFERROR(('Financials&gt;'!H17-'Financials&gt;'!I17)/'Financials&gt;'!H17,0)</f>
        <v>0.234374182150762</v>
      </c>
      <c r="J6" s="41">
        <f>IFERROR(('Financials&gt;'!I17-'Financials&gt;'!J17)/'Financials&gt;'!I17,0)</f>
        <v>-0.28704223973294352</v>
      </c>
      <c r="K6" s="41">
        <f>IFERROR(('Financials&gt;'!J17-'Financials&gt;'!K17)/'Financials&gt;'!J17,0)</f>
        <v>-0.81746176428064277</v>
      </c>
      <c r="L6" s="41">
        <f>IFERROR(('Financials&gt;'!K17-'Financials&gt;'!L17)/'Financials&gt;'!K17,0)</f>
        <v>4.5102379634753734E-2</v>
      </c>
      <c r="M6" s="35"/>
      <c r="N6" s="45">
        <f t="shared" ref="N6:N9" si="0">IFERROR(AVERAGE(D6:L6),0)</f>
        <v>-0.1074650438188626</v>
      </c>
      <c r="O6" s="45">
        <f t="shared" ref="O6:O9" si="1">IFERROR(MEDIAN(D6:L6),0)</f>
        <v>4.5102379634753734E-2</v>
      </c>
    </row>
    <row r="7" spans="2:15" x14ac:dyDescent="0.3">
      <c r="B7" s="35" t="s">
        <v>121</v>
      </c>
      <c r="C7" s="41" t="s">
        <v>59</v>
      </c>
      <c r="D7" s="41">
        <f>IFERROR(('Financials&gt;'!D23-'Financials&gt;'!C23)/'Financials&gt;'!C23,0)</f>
        <v>-0.46119503958362557</v>
      </c>
      <c r="E7" s="41">
        <f>IFERROR(('Financials&gt;'!E23-'Financials&gt;'!D23)/'Financials&gt;'!D23,0)</f>
        <v>-0.15231561919597772</v>
      </c>
      <c r="F7" s="41">
        <f>IFERROR(('Financials&gt;'!F23-'Financials&gt;'!E23)/'Financials&gt;'!E23,0)</f>
        <v>-0.89159024201112635</v>
      </c>
      <c r="G7" s="41">
        <f>IFERROR(('Financials&gt;'!G23-'Financials&gt;'!F23)/'Financials&gt;'!F23,0)</f>
        <v>-4.2023470243084331</v>
      </c>
      <c r="H7" s="41">
        <f>IFERROR(('Financials&gt;'!H23-'Financials&gt;'!G23)/'Financials&gt;'!G23,0)</f>
        <v>-3.5421189171581497</v>
      </c>
      <c r="I7" s="41">
        <f>IFERROR(('Financials&gt;'!I23-'Financials&gt;'!H23)/'Financials&gt;'!H23,0)</f>
        <v>-1.0132254551112476</v>
      </c>
      <c r="J7" s="41">
        <f>IFERROR(('Financials&gt;'!J23-'Financials&gt;'!I23)/'Financials&gt;'!I23,0)</f>
        <v>-61.168166089973369</v>
      </c>
      <c r="K7" s="41">
        <f>IFERROR(('Financials&gt;'!K23-'Financials&gt;'!J23)/'Financials&gt;'!J23,0)</f>
        <v>3.3972775266554209</v>
      </c>
      <c r="L7" s="41">
        <f>IFERROR(('Financials&gt;'!L23-'Financials&gt;'!K23)/'Financials&gt;'!K23,0)</f>
        <v>4.4956678110184729E-2</v>
      </c>
      <c r="M7" s="35"/>
      <c r="N7" s="45">
        <f t="shared" si="0"/>
        <v>-7.5543026869529264</v>
      </c>
      <c r="O7" s="45">
        <f t="shared" si="1"/>
        <v>-0.89159024201112635</v>
      </c>
    </row>
    <row r="8" spans="2:15" x14ac:dyDescent="0.3">
      <c r="B8" s="35" t="s">
        <v>122</v>
      </c>
      <c r="C8" s="41" t="s">
        <v>59</v>
      </c>
      <c r="D8" s="41">
        <f>IFERROR(('Financials&gt;'!D35-'Financials&gt;'!C35)/'Financials&gt;'!C35,0)</f>
        <v>-0.69539895165986787</v>
      </c>
      <c r="E8" s="41">
        <f>IFERROR(('Financials&gt;'!E35-'Financials&gt;'!D35)/'Financials&gt;'!D35,0)</f>
        <v>-0.79011124197155724</v>
      </c>
      <c r="F8" s="41">
        <f>IFERROR(('Financials&gt;'!F35-'Financials&gt;'!E35)/'Financials&gt;'!E35,0)</f>
        <v>-3.5528470983790919</v>
      </c>
      <c r="G8" s="41">
        <f>IFERROR(('Financials&gt;'!G35-'Financials&gt;'!F35)/'Financials&gt;'!F35,0)</f>
        <v>3.9286702707513577</v>
      </c>
      <c r="H8" s="41">
        <f>IFERROR(('Financials&gt;'!H35-'Financials&gt;'!G35)/'Financials&gt;'!G35,0)</f>
        <v>-0.82862505348950144</v>
      </c>
      <c r="I8" s="41">
        <f>IFERROR(('Financials&gt;'!I35-'Financials&gt;'!H35)/'Financials&gt;'!H35,0)</f>
        <v>6.1952157445306248</v>
      </c>
      <c r="J8" s="41">
        <f>IFERROR(('Financials&gt;'!J35-'Financials&gt;'!I35)/'Financials&gt;'!I35,0)</f>
        <v>-0.7090436533357708</v>
      </c>
      <c r="K8" s="41">
        <f>IFERROR(('Financials&gt;'!K35-'Financials&gt;'!J35)/'Financials&gt;'!J35,0)</f>
        <v>-7.7977655318184613</v>
      </c>
      <c r="L8" s="41">
        <f>IFERROR(('Financials&gt;'!L35-'Financials&gt;'!K35)/'Financials&gt;'!K35,0)</f>
        <v>-0.39385526559318895</v>
      </c>
      <c r="M8" s="35"/>
      <c r="N8" s="45">
        <f>IFERROR(AVERAGE(D8:L8),0)</f>
        <v>-0.51597342010727287</v>
      </c>
      <c r="O8" s="45">
        <f t="shared" si="1"/>
        <v>-0.7090436533357708</v>
      </c>
    </row>
    <row r="9" spans="2:15" x14ac:dyDescent="0.3">
      <c r="B9" s="42" t="s">
        <v>123</v>
      </c>
      <c r="C9" s="43" t="s">
        <v>59</v>
      </c>
      <c r="D9" s="43">
        <f>IFERROR('Financials&gt;'!E41/'Financials&gt;'!D41-1,0)</f>
        <v>0</v>
      </c>
      <c r="E9" s="43">
        <f>IFERROR('Financials&gt;'!F41/'Financials&gt;'!E41-1,0)</f>
        <v>0</v>
      </c>
      <c r="F9" s="43">
        <f>IFERROR('Financials&gt;'!G41/'Financials&gt;'!F41-1,0)</f>
        <v>0</v>
      </c>
      <c r="G9" s="43">
        <f>IFERROR('Financials&gt;'!H41/'Financials&gt;'!G41-1,0)</f>
        <v>0</v>
      </c>
      <c r="H9" s="43">
        <f>IFERROR('Financials&gt;'!I41/'Financials&gt;'!H41-1,0)</f>
        <v>0</v>
      </c>
      <c r="I9" s="43">
        <f>IFERROR('Financials&gt;'!J41/'Financials&gt;'!I41-1,0)</f>
        <v>0</v>
      </c>
      <c r="J9" s="43">
        <f>IFERROR('Financials&gt;'!K41/'Financials&gt;'!J41-1,0)</f>
        <v>2.0016689880185949</v>
      </c>
      <c r="K9" s="43">
        <f>IFERROR('Financials&gt;'!L41/'Financials&gt;'!K41-1,0)</f>
        <v>-0.1336306958339889</v>
      </c>
      <c r="L9" s="43">
        <f>IFERROR('Financials&gt;'!M41/'Financials&gt;'!L41-1,0)</f>
        <v>-1</v>
      </c>
      <c r="M9" s="42"/>
      <c r="N9" s="46">
        <f t="shared" si="0"/>
        <v>9.6448699131622906E-2</v>
      </c>
      <c r="O9" s="46">
        <f t="shared" si="1"/>
        <v>0</v>
      </c>
    </row>
    <row r="10" spans="2:15" x14ac:dyDescent="0.3">
      <c r="C10" s="12"/>
      <c r="D10" s="12"/>
      <c r="E10" s="12"/>
      <c r="F10" s="12"/>
      <c r="G10" s="12"/>
      <c r="H10" s="12"/>
      <c r="I10" s="12"/>
      <c r="J10" s="12"/>
      <c r="K10" s="12"/>
      <c r="L10" s="12"/>
      <c r="O10" s="31"/>
    </row>
    <row r="11" spans="2:15" x14ac:dyDescent="0.3">
      <c r="B11" s="39" t="s">
        <v>61</v>
      </c>
      <c r="C11" s="44">
        <f>IFERROR('Financials&gt;'!C12,0)</f>
        <v>0.24734524196690946</v>
      </c>
      <c r="D11" s="44">
        <f>IFERROR('Financials&gt;'!D12,0)</f>
        <v>0.23819078253229964</v>
      </c>
      <c r="E11" s="44">
        <f>IFERROR('Financials&gt;'!E12,0)</f>
        <v>0.21649990080619999</v>
      </c>
      <c r="F11" s="44">
        <f>IFERROR('Financials&gt;'!F12,0)</f>
        <v>0.19571167496416494</v>
      </c>
      <c r="G11" s="44">
        <f>IFERROR('Financials&gt;'!G12,0)</f>
        <v>0.19417127271491774</v>
      </c>
      <c r="H11" s="44">
        <f>IFERROR('Financials&gt;'!H12,0)</f>
        <v>0.2180538622208833</v>
      </c>
      <c r="I11" s="44">
        <f>IFERROR('Financials&gt;'!I12,0)</f>
        <v>0.19807108271747378</v>
      </c>
      <c r="J11" s="44">
        <f>IFERROR('Financials&gt;'!J12,0)</f>
        <v>0.20685017994636876</v>
      </c>
      <c r="K11" s="44">
        <f>IFERROR('Financials&gt;'!K12,0)</f>
        <v>0.22956757354567572</v>
      </c>
      <c r="L11" s="44">
        <f>IFERROR('Financials&gt;'!L12,0)</f>
        <v>0.22489680346603896</v>
      </c>
      <c r="M11" s="39"/>
      <c r="N11" s="44">
        <f>IFERROR(AVERAGE(C11:L11),0)</f>
        <v>0.2169358374880932</v>
      </c>
      <c r="O11" s="44">
        <f>IFERROR(MEDIAN(C11:L11),0)</f>
        <v>0.21727688151354163</v>
      </c>
    </row>
    <row r="12" spans="2:15" x14ac:dyDescent="0.3">
      <c r="B12" s="35" t="s">
        <v>125</v>
      </c>
      <c r="C12" s="45">
        <f>IFERROR('Financials&gt;'!C18,0)</f>
        <v>0.14061845347443788</v>
      </c>
      <c r="D12" s="45">
        <f>IFERROR('Financials&gt;'!D18,0)</f>
        <v>0.10971268723777329</v>
      </c>
      <c r="E12" s="45">
        <f>IFERROR('Financials&gt;'!E18,0)</f>
        <v>0.10789788444182975</v>
      </c>
      <c r="F12" s="45">
        <f>IFERROR('Financials&gt;'!F18,0)</f>
        <v>8.1686628795807431E-2</v>
      </c>
      <c r="G12" s="45">
        <f>IFERROR('Financials&gt;'!G18,0)</f>
        <v>6.8898034485042198E-2</v>
      </c>
      <c r="H12" s="45">
        <f>IFERROR('Financials&gt;'!H18,0)</f>
        <v>0.12925583904385496</v>
      </c>
      <c r="I12" s="45">
        <f>IFERROR('Financials&gt;'!I18,0)</f>
        <v>8.877632835227646E-2</v>
      </c>
      <c r="J12" s="45">
        <f>IFERROR('Financials&gt;'!J18,0)</f>
        <v>9.1961958102532049E-2</v>
      </c>
      <c r="K12" s="45">
        <f>IFERROR('Financials&gt;'!K18,0)</f>
        <v>0.13323011133230112</v>
      </c>
      <c r="L12" s="45">
        <f>IFERROR('Financials&gt;'!L18,0)</f>
        <v>0.12557795744777631</v>
      </c>
      <c r="M12" s="35"/>
      <c r="N12" s="45">
        <f t="shared" ref="N12:N41" si="2">IFERROR(AVERAGE(C12:L12),0)</f>
        <v>0.10776158827136313</v>
      </c>
      <c r="O12" s="45">
        <f t="shared" ref="O12:O41" si="3">IFERROR(MEDIAN(C12:L12),0)</f>
        <v>0.10880528583980152</v>
      </c>
    </row>
    <row r="13" spans="2:15" x14ac:dyDescent="0.3">
      <c r="B13" s="35" t="s">
        <v>124</v>
      </c>
      <c r="C13" s="45">
        <f>IFERROR('Financials&gt;'!C18,0)</f>
        <v>0.14061845347443788</v>
      </c>
      <c r="D13" s="45">
        <f>IFERROR('Financials&gt;'!D18,0)</f>
        <v>0.10971268723777329</v>
      </c>
      <c r="E13" s="45">
        <f>IFERROR('Financials&gt;'!E18,0)</f>
        <v>0.10789788444182975</v>
      </c>
      <c r="F13" s="45">
        <f>IFERROR('Financials&gt;'!F18,0)</f>
        <v>8.1686628795807431E-2</v>
      </c>
      <c r="G13" s="45">
        <f>IFERROR('Financials&gt;'!G18,0)</f>
        <v>6.8898034485042198E-2</v>
      </c>
      <c r="H13" s="45">
        <f>IFERROR('Financials&gt;'!H18,0)</f>
        <v>0.12925583904385496</v>
      </c>
      <c r="I13" s="45">
        <f>IFERROR('Financials&gt;'!I18,0)</f>
        <v>8.877632835227646E-2</v>
      </c>
      <c r="J13" s="45">
        <f>IFERROR('Financials&gt;'!J18,0)</f>
        <v>9.1961958102532049E-2</v>
      </c>
      <c r="K13" s="45">
        <f>IFERROR('Financials&gt;'!K18,0)</f>
        <v>0.13323011133230112</v>
      </c>
      <c r="L13" s="45">
        <f>IFERROR('Financials&gt;'!L18,0)</f>
        <v>0.12557795744777631</v>
      </c>
      <c r="M13" s="35"/>
      <c r="N13" s="45">
        <f t="shared" si="2"/>
        <v>0.10776158827136313</v>
      </c>
      <c r="O13" s="45">
        <f t="shared" si="3"/>
        <v>0.10880528583980152</v>
      </c>
    </row>
    <row r="14" spans="2:15" x14ac:dyDescent="0.3">
      <c r="B14" s="35" t="s">
        <v>126</v>
      </c>
      <c r="C14" s="45">
        <f>IFERROR('Financials&gt;'!C24,0)</f>
        <v>7.941702777851016E-2</v>
      </c>
      <c r="D14" s="45">
        <f>IFERROR('Financials&gt;'!D24,0)</f>
        <v>4.3322300645279484E-2</v>
      </c>
      <c r="E14" s="45">
        <f>IFERROR('Financials&gt;'!E24,0)</f>
        <v>3.3970412259310953E-2</v>
      </c>
      <c r="F14" s="45">
        <f>IFERROR('Financials&gt;'!F24,0)</f>
        <v>3.5560233478087663E-3</v>
      </c>
      <c r="G14" s="45">
        <f>IFERROR('Financials&gt;'!G24,0)</f>
        <v>-1.3170363258273456E-2</v>
      </c>
      <c r="H14" s="45">
        <f>IFERROR('Financials&gt;'!H24,0)</f>
        <v>3.4991608110258483E-2</v>
      </c>
      <c r="I14" s="45">
        <f>IFERROR('Financials&gt;'!I24,0)</f>
        <v>-4.1514992694289269E-4</v>
      </c>
      <c r="J14" s="45">
        <f>IFERROR('Financials&gt;'!J24,0)</f>
        <v>2.0104346955433228E-2</v>
      </c>
      <c r="K14" s="45">
        <f>IFERROR('Financials&gt;'!K24,0)</f>
        <v>7.0469752267197525E-2</v>
      </c>
      <c r="L14" s="45">
        <f>IFERROR('Financials&gt;'!L24,0)</f>
        <v>7.2686748769033083E-2</v>
      </c>
      <c r="M14" s="35"/>
      <c r="N14" s="45">
        <f t="shared" si="2"/>
        <v>3.4493270694761533E-2</v>
      </c>
      <c r="O14" s="45">
        <f t="shared" si="3"/>
        <v>3.4481010184784722E-2</v>
      </c>
    </row>
    <row r="15" spans="2:15" x14ac:dyDescent="0.3">
      <c r="B15" s="35" t="s">
        <v>128</v>
      </c>
      <c r="C15" s="45">
        <f>IFERROR('Financials&gt;'!C30,0)</f>
        <v>6.1511300676516931E-2</v>
      </c>
      <c r="D15" s="45">
        <f>IFERROR('Financials&gt;'!D30,0)</f>
        <v>2.7608071132565179E-2</v>
      </c>
      <c r="E15" s="45">
        <f>IFERROR('Financials&gt;'!E30,0)</f>
        <v>1.7912163958707913E-2</v>
      </c>
      <c r="F15" s="45">
        <f>IFERROR('Financials&gt;'!F30,0)</f>
        <v>-1.5516078776333117E-2</v>
      </c>
      <c r="G15" s="45">
        <f>IFERROR('Financials&gt;'!G30,0)</f>
        <v>-4.0915360088026265E-2</v>
      </c>
      <c r="H15" s="45">
        <f>IFERROR('Financials&gt;'!H30,0)</f>
        <v>2.5763151547420113E-3</v>
      </c>
      <c r="I15" s="45">
        <f>IFERROR('Financials&gt;'!I30,0)</f>
        <v>-3.3856482095653805E-2</v>
      </c>
      <c r="J15" s="45">
        <f>IFERROR('Financials&gt;'!J30,0)</f>
        <v>-9.4518849588445895E-3</v>
      </c>
      <c r="K15" s="45">
        <f>IFERROR('Financials&gt;'!K30,0)</f>
        <v>5.2972701467227018E-2</v>
      </c>
      <c r="L15" s="45">
        <f>IFERROR('Financials&gt;'!L30,0)</f>
        <v>6.1126462661617711E-2</v>
      </c>
      <c r="M15" s="35"/>
      <c r="N15" s="45">
        <f t="shared" si="2"/>
        <v>1.2396720913251899E-2</v>
      </c>
      <c r="O15" s="45">
        <f t="shared" si="3"/>
        <v>1.0244239556724962E-2</v>
      </c>
    </row>
    <row r="16" spans="2:15" x14ac:dyDescent="0.3">
      <c r="B16" s="42" t="s">
        <v>127</v>
      </c>
      <c r="C16" s="46">
        <f>IFERROR('Financials&gt;'!C36,0)</f>
        <v>5.0432381990407359E-2</v>
      </c>
      <c r="D16" s="46">
        <f>IFERROR('Financials&gt;'!D36,0)</f>
        <v>1.5552749314395296E-2</v>
      </c>
      <c r="E16" s="46">
        <f>IFERROR('Financials&gt;'!E36,0)</f>
        <v>3.01961430487095E-3</v>
      </c>
      <c r="F16" s="46">
        <f>IFERROR('Financials&gt;'!F36,0)</f>
        <v>-7.4434056747998256E-3</v>
      </c>
      <c r="G16" s="46">
        <f>IFERROR('Financials&gt;'!G36,0)</f>
        <v>-4.2429333632923408E-2</v>
      </c>
      <c r="H16" s="46">
        <f>IFERROR('Financials&gt;'!H36,0)</f>
        <v>-7.5994791724005731E-3</v>
      </c>
      <c r="I16" s="46">
        <f>IFERROR('Financials&gt;'!I36,0)</f>
        <v>-4.9052154538339235E-2</v>
      </c>
      <c r="J16" s="46">
        <f>IFERROR('Financials&gt;'!J36,0)</f>
        <v>-1.1486934720964945E-2</v>
      </c>
      <c r="K16" s="46">
        <f>IFERROR('Financials&gt;'!K36,0)</f>
        <v>6.224424905994249E-2</v>
      </c>
      <c r="L16" s="46">
        <f>IFERROR('Financials&gt;'!L36,0)</f>
        <v>3.724172437712505E-2</v>
      </c>
      <c r="M16" s="42"/>
      <c r="N16" s="46">
        <f t="shared" si="2"/>
        <v>5.0479411307313166E-3</v>
      </c>
      <c r="O16" s="46">
        <f t="shared" si="3"/>
        <v>-2.2118956849644378E-3</v>
      </c>
    </row>
    <row r="17" spans="2:15" x14ac:dyDescent="0.3">
      <c r="N17" s="31"/>
      <c r="O17" s="31"/>
    </row>
    <row r="18" spans="2:15" x14ac:dyDescent="0.3">
      <c r="B18" s="39" t="s">
        <v>129</v>
      </c>
      <c r="C18" s="44">
        <f>IFERROR('Financials&gt;'!C15,0)</f>
        <v>0.10672678849247161</v>
      </c>
      <c r="D18" s="44">
        <f>IFERROR('Financials&gt;'!D15,0)</f>
        <v>0.12847809529452636</v>
      </c>
      <c r="E18" s="44">
        <f>IFERROR('Financials&gt;'!E15,0)</f>
        <v>0.10860201636437025</v>
      </c>
      <c r="F18" s="44">
        <f>IFERROR('Financials&gt;'!F15,0)</f>
        <v>0.11402504616835751</v>
      </c>
      <c r="G18" s="44">
        <f>IFERROR('Financials&gt;'!G15,0)</f>
        <v>0.12527323822987554</v>
      </c>
      <c r="H18" s="44">
        <f>IFERROR('Financials&gt;'!H15,0)</f>
        <v>8.8798023177028354E-2</v>
      </c>
      <c r="I18" s="44">
        <f>IFERROR('Financials&gt;'!I15,0)</f>
        <v>0.10929475436519734</v>
      </c>
      <c r="J18" s="44">
        <f>IFERROR('Financials&gt;'!J15,0)</f>
        <v>0.11488822184383672</v>
      </c>
      <c r="K18" s="44">
        <f>IFERROR('Financials&gt;'!K15,0)</f>
        <v>9.6337462213374622E-2</v>
      </c>
      <c r="L18" s="44">
        <f>IFERROR('Financials&gt;'!L15,0)</f>
        <v>9.9318846018262658E-2</v>
      </c>
      <c r="M18" s="39"/>
      <c r="N18" s="44">
        <f t="shared" si="2"/>
        <v>0.10917424921673009</v>
      </c>
      <c r="O18" s="44">
        <f t="shared" si="3"/>
        <v>0.1089483853647838</v>
      </c>
    </row>
    <row r="19" spans="2:15" x14ac:dyDescent="0.3">
      <c r="B19" s="35" t="s">
        <v>130</v>
      </c>
      <c r="C19" s="45">
        <f>IFERROR('Financials&gt;'!C21,0)</f>
        <v>6.1201425695927715E-2</v>
      </c>
      <c r="D19" s="45">
        <f>IFERROR('Financials&gt;'!D21,0)</f>
        <v>6.63903865924938E-2</v>
      </c>
      <c r="E19" s="45">
        <f>IFERROR('Financials&gt;'!E21,0)</f>
        <v>7.3927472182518786E-2</v>
      </c>
      <c r="F19" s="45">
        <f>IFERROR('Financials&gt;'!F21,0)</f>
        <v>7.8130605447998658E-2</v>
      </c>
      <c r="G19" s="45">
        <f>IFERROR('Financials&gt;'!G21,0)</f>
        <v>8.206839774331566E-2</v>
      </c>
      <c r="H19" s="45">
        <f>IFERROR('Financials&gt;'!H21,0)</f>
        <v>9.4264230933596482E-2</v>
      </c>
      <c r="I19" s="45">
        <f>IFERROR('Financials&gt;'!I21,0)</f>
        <v>8.9191478279219347E-2</v>
      </c>
      <c r="J19" s="45">
        <f>IFERROR('Financials&gt;'!J21,0)</f>
        <v>7.1857611147098821E-2</v>
      </c>
      <c r="K19" s="45">
        <f>IFERROR('Financials&gt;'!K21,0)</f>
        <v>6.2760359065103591E-2</v>
      </c>
      <c r="L19" s="45">
        <f>IFERROR('Financials&gt;'!L21,0)</f>
        <v>5.2891208678743216E-2</v>
      </c>
      <c r="M19" s="35"/>
      <c r="N19" s="45">
        <f t="shared" si="2"/>
        <v>7.3268317576601599E-2</v>
      </c>
      <c r="O19" s="45">
        <f t="shared" si="3"/>
        <v>7.2892541664808796E-2</v>
      </c>
    </row>
    <row r="20" spans="2:15" x14ac:dyDescent="0.3">
      <c r="B20" s="42" t="s">
        <v>131</v>
      </c>
      <c r="C20" s="46">
        <f>C14</f>
        <v>7.941702777851016E-2</v>
      </c>
      <c r="D20" s="46">
        <f t="shared" ref="D20:L20" si="4">D14</f>
        <v>4.3322300645279484E-2</v>
      </c>
      <c r="E20" s="46">
        <f t="shared" si="4"/>
        <v>3.3970412259310953E-2</v>
      </c>
      <c r="F20" s="46">
        <f t="shared" si="4"/>
        <v>3.5560233478087663E-3</v>
      </c>
      <c r="G20" s="46">
        <f t="shared" si="4"/>
        <v>-1.3170363258273456E-2</v>
      </c>
      <c r="H20" s="46">
        <f t="shared" si="4"/>
        <v>3.4991608110258483E-2</v>
      </c>
      <c r="I20" s="46">
        <f t="shared" si="4"/>
        <v>-4.1514992694289269E-4</v>
      </c>
      <c r="J20" s="46">
        <f t="shared" si="4"/>
        <v>2.0104346955433228E-2</v>
      </c>
      <c r="K20" s="46">
        <f t="shared" si="4"/>
        <v>7.0469752267197525E-2</v>
      </c>
      <c r="L20" s="46">
        <f t="shared" si="4"/>
        <v>7.2686748769033083E-2</v>
      </c>
      <c r="M20" s="42"/>
      <c r="N20" s="46">
        <f t="shared" si="2"/>
        <v>3.4493270694761533E-2</v>
      </c>
      <c r="O20" s="46">
        <f t="shared" si="3"/>
        <v>3.4481010184784722E-2</v>
      </c>
    </row>
    <row r="21" spans="2:15" x14ac:dyDescent="0.3">
      <c r="N21" s="31"/>
      <c r="O21" s="31"/>
    </row>
    <row r="22" spans="2:15" x14ac:dyDescent="0.3">
      <c r="B22" s="39" t="s">
        <v>132</v>
      </c>
      <c r="C22" s="44">
        <f>IFERROR('Financials&gt;'!C23/(SUM('Financials&gt;'!C47:C49)),0)</f>
        <v>0.1462081011853561</v>
      </c>
      <c r="D22" s="44">
        <f>IFERROR('Financials&gt;'!D23/(SUM('Financials&gt;'!D47:D49)),0)</f>
        <v>8.5490986154773282E-2</v>
      </c>
      <c r="E22" s="44">
        <f>IFERROR('Financials&gt;'!E23/(SUM('Financials&gt;'!E47:E49)),0)</f>
        <v>5.3716113570365424E-2</v>
      </c>
      <c r="F22" s="44">
        <f>IFERROR('Financials&gt;'!F23/(SUM('Financials&gt;'!F47:F49)),0)</f>
        <v>6.4542733637543747E-3</v>
      </c>
      <c r="G22" s="44">
        <f>IFERROR('Financials&gt;'!G23/(SUM('Financials&gt;'!G47:G49)),0)</f>
        <v>-1.8302177555437667E-2</v>
      </c>
      <c r="H22" s="44">
        <f>IFERROR('Financials&gt;'!H23/(SUM('Financials&gt;'!H47:H49)),0)</f>
        <v>4.4284324706251613E-2</v>
      </c>
      <c r="I22" s="44">
        <f>IFERROR('Financials&gt;'!I23/(SUM('Financials&gt;'!I47:I49)),0)</f>
        <v>-6.0520306054739361E-4</v>
      </c>
      <c r="J22" s="44">
        <f>IFERROR('Financials&gt;'!J23/(SUM('Financials&gt;'!J47:J49)),0)</f>
        <v>3.8762956416083731E-2</v>
      </c>
      <c r="K22" s="44">
        <f>IFERROR('Financials&gt;'!K23/(SUM('Financials&gt;'!K47:K49)),0)</f>
        <v>0.15914601783725843</v>
      </c>
      <c r="L22" s="44">
        <f>IFERROR('Financials&gt;'!L23/(SUM('Financials&gt;'!L47:L49)),0)</f>
        <v>0.17028622578376421</v>
      </c>
      <c r="M22" s="39"/>
      <c r="N22" s="44">
        <f t="shared" si="2"/>
        <v>6.854416184016221E-2</v>
      </c>
      <c r="O22" s="44">
        <f t="shared" si="3"/>
        <v>4.9000219138308515E-2</v>
      </c>
    </row>
    <row r="23" spans="2:15" x14ac:dyDescent="0.3">
      <c r="B23" s="35" t="s">
        <v>133</v>
      </c>
      <c r="C23" s="45">
        <f>IFERROR('Financials&gt;'!C44,0)</f>
        <v>0.99918521328525001</v>
      </c>
      <c r="D23" s="45">
        <f>IFERROR('Financials&gt;'!D44,0)</f>
        <v>1</v>
      </c>
      <c r="E23" s="45">
        <f>IFERROR('Financials&gt;'!E44,0)</f>
        <v>1</v>
      </c>
      <c r="F23" s="45">
        <f>IFERROR('Financials&gt;'!F44,0)</f>
        <v>0</v>
      </c>
      <c r="G23" s="45">
        <f>IFERROR('Financials&gt;'!G44,0)</f>
        <v>0</v>
      </c>
      <c r="H23" s="45">
        <f>IFERROR('Financials&gt;'!H44,0)</f>
        <v>0</v>
      </c>
      <c r="I23" s="45">
        <f>IFERROR('Financials&gt;'!I44,0)</f>
        <v>0</v>
      </c>
      <c r="J23" s="45">
        <f>IFERROR('Financials&gt;'!J44,0)</f>
        <v>0</v>
      </c>
      <c r="K23" s="45">
        <f>IFERROR('Financials&gt;'!K44,0)</f>
        <v>0.97917078108237543</v>
      </c>
      <c r="L23" s="45">
        <f>IFERROR('Financials&gt;'!L44,0)</f>
        <v>0.98370716544895109</v>
      </c>
      <c r="M23" s="35"/>
      <c r="N23" s="45">
        <f t="shared" si="2"/>
        <v>0.49620631598165765</v>
      </c>
      <c r="O23" s="45">
        <f t="shared" si="3"/>
        <v>0.48958539054118771</v>
      </c>
    </row>
    <row r="24" spans="2:15" x14ac:dyDescent="0.3">
      <c r="B24" s="35" t="s">
        <v>134</v>
      </c>
      <c r="C24" s="45">
        <f>IFERROR('Financials&gt;'!C35/SUM('Financials&gt;'!C47:C48),0)</f>
        <v>0.17441316864171685</v>
      </c>
      <c r="D24" s="45">
        <f>IFERROR('Financials&gt;'!D35/SUM('Financials&gt;'!D47:D48),0)</f>
        <v>7.2241189530689517E-2</v>
      </c>
      <c r="E24" s="45">
        <f>IFERROR('Financials&gt;'!E35/SUM('Financials&gt;'!E47:E48),0)</f>
        <v>9.2254980749341738E-3</v>
      </c>
      <c r="F24" s="45">
        <f>IFERROR('Financials&gt;'!F35/SUM('Financials&gt;'!F47:F48),0)</f>
        <v>-3.7345736658758885E-2</v>
      </c>
      <c r="G24" s="45">
        <f>IFERROR('Financials&gt;'!G35/SUM('Financials&gt;'!G47:G48),0)</f>
        <v>-0.17560555073176307</v>
      </c>
      <c r="H24" s="45">
        <f>IFERROR('Financials&gt;'!H35/SUM('Financials&gt;'!H47:H48),0)</f>
        <v>-3.4360591904822733E-2</v>
      </c>
      <c r="I24" s="45">
        <f>IFERROR('Financials&gt;'!I35/SUM('Financials&gt;'!I47:I48),0)</f>
        <v>-0.30651638060341208</v>
      </c>
      <c r="J24" s="45">
        <f>IFERROR('Financials&gt;'!J35/SUM('Financials&gt;'!J47:J48),0)</f>
        <v>-8.7686298356707396E-2</v>
      </c>
      <c r="K24" s="45">
        <f>IFERROR('Financials&gt;'!K35/SUM('Financials&gt;'!K47:K48),0)</f>
        <v>0.31813043171059141</v>
      </c>
      <c r="L24" s="45">
        <f>IFERROR('Financials&gt;'!L35/SUM('Financials&gt;'!L47:L48),0)</f>
        <v>0.14098877255820361</v>
      </c>
      <c r="M24" s="35"/>
      <c r="N24" s="45">
        <f t="shared" si="2"/>
        <v>7.348450226067141E-3</v>
      </c>
      <c r="O24" s="45">
        <f t="shared" si="3"/>
        <v>-1.2567546914944279E-2</v>
      </c>
    </row>
    <row r="25" spans="2:15" x14ac:dyDescent="0.3">
      <c r="B25" s="35" t="s">
        <v>135</v>
      </c>
      <c r="C25" s="47">
        <f>IFERROR(C24*C23,0)</f>
        <v>0.17427105910903012</v>
      </c>
      <c r="D25" s="47">
        <f t="shared" ref="D25:L25" si="5">IFERROR(D24*D23,0)</f>
        <v>7.2241189530689517E-2</v>
      </c>
      <c r="E25" s="47">
        <f t="shared" si="5"/>
        <v>9.2254980749341738E-3</v>
      </c>
      <c r="F25" s="47">
        <f t="shared" si="5"/>
        <v>0</v>
      </c>
      <c r="G25" s="47">
        <f t="shared" si="5"/>
        <v>0</v>
      </c>
      <c r="H25" s="47">
        <f t="shared" si="5"/>
        <v>0</v>
      </c>
      <c r="I25" s="47">
        <f t="shared" si="5"/>
        <v>0</v>
      </c>
      <c r="J25" s="47">
        <f t="shared" si="5"/>
        <v>0</v>
      </c>
      <c r="K25" s="47">
        <f t="shared" si="5"/>
        <v>0.31150402330413307</v>
      </c>
      <c r="L25" s="47">
        <f t="shared" si="5"/>
        <v>0.13869166581335732</v>
      </c>
      <c r="M25" s="35"/>
      <c r="N25" s="45">
        <f t="shared" si="2"/>
        <v>7.0593343583214424E-2</v>
      </c>
      <c r="O25" s="45">
        <f t="shared" si="3"/>
        <v>4.6127490374670869E-3</v>
      </c>
    </row>
    <row r="26" spans="2:15" x14ac:dyDescent="0.3">
      <c r="B26" s="42" t="s">
        <v>149</v>
      </c>
      <c r="C26" s="48">
        <f>IFERROR('Financials&gt;'!C23/'Financials&gt;'!C26,0)</f>
        <v>4.4352863933500721</v>
      </c>
      <c r="D26" s="48">
        <f>IFERROR('Financials&gt;'!D23/'Financials&gt;'!D26,0)</f>
        <v>2.7568835373205922</v>
      </c>
      <c r="E26" s="48">
        <f>IFERROR('Financials&gt;'!E23/'Financials&gt;'!E26,0)</f>
        <v>2.1154494328024094</v>
      </c>
      <c r="F26" s="48">
        <f>IFERROR('Financials&gt;'!F23/'Financials&gt;'!F26,0)</f>
        <v>0.18645156808947008</v>
      </c>
      <c r="G26" s="48">
        <f>IFERROR('Financials&gt;'!G23/'Financials&gt;'!G26,0)</f>
        <v>-0.47469326953211261</v>
      </c>
      <c r="H26" s="48">
        <f>IFERROR('Financials&gt;'!H23/'Financials&gt;'!H26,0)</f>
        <v>1.079478385658198</v>
      </c>
      <c r="I26" s="48">
        <f>IFERROR('Financials&gt;'!I23/'Financials&gt;'!I26,0)</f>
        <v>-1.2414275987824557E-2</v>
      </c>
      <c r="J26" s="48">
        <f>IFERROR('Financials&gt;'!J23/'Financials&gt;'!J26,0)</f>
        <v>0.68020669934320532</v>
      </c>
      <c r="K26" s="48">
        <f>IFERROR('Financials&gt;'!K23/'Financials&gt;'!K26,0)</f>
        <v>4.0275217276797468</v>
      </c>
      <c r="L26" s="48">
        <f>IFERROR('Financials&gt;'!L23/'Financials&gt;'!L26,0)</f>
        <v>6.2876254180602009</v>
      </c>
      <c r="M26" s="42"/>
      <c r="N26" s="48">
        <f t="shared" si="2"/>
        <v>2.108179561678396</v>
      </c>
      <c r="O26" s="48">
        <f t="shared" si="3"/>
        <v>1.5974639092303038</v>
      </c>
    </row>
    <row r="27" spans="2:15" s="35" customFormat="1" x14ac:dyDescent="0.3">
      <c r="M27"/>
      <c r="N27" s="51"/>
      <c r="O27" s="51"/>
    </row>
    <row r="28" spans="2:15" x14ac:dyDescent="0.3">
      <c r="B28" s="49" t="s">
        <v>136</v>
      </c>
      <c r="C28" s="50">
        <f>IFERROR('Financials&gt;'!C5/'Financials&gt;'!C59,0)</f>
        <v>20.119918266350599</v>
      </c>
      <c r="D28" s="50">
        <f>IFERROR('Financials&gt;'!D5/'Financials&gt;'!D59,0)</f>
        <v>19.160353236640844</v>
      </c>
      <c r="E28" s="50">
        <f>IFERROR('Financials&gt;'!E5/'Financials&gt;'!E59,0)</f>
        <v>14.655712224718874</v>
      </c>
      <c r="F28" s="50">
        <f>IFERROR('Financials&gt;'!F5/'Financials&gt;'!F59,0)</f>
        <v>15.894698773489607</v>
      </c>
      <c r="G28" s="50">
        <f>IFERROR('Financials&gt;'!G5/'Financials&gt;'!G59,0)</f>
        <v>23.366617170976728</v>
      </c>
      <c r="H28" s="50">
        <f>IFERROR('Financials&gt;'!H5/'Financials&gt;'!H59,0)</f>
        <v>19.701330853658153</v>
      </c>
      <c r="I28" s="50">
        <f>IFERROR('Financials&gt;'!I5/'Financials&gt;'!I59,0)</f>
        <v>22.379917570317598</v>
      </c>
      <c r="J28" s="50">
        <f>IFERROR('Financials&gt;'!J5/'Financials&gt;'!J59,0)</f>
        <v>21.982947610142858</v>
      </c>
      <c r="K28" s="50">
        <f>IFERROR('Financials&gt;'!K5/'Financials&gt;'!K59,0)</f>
        <v>25.602642756016991</v>
      </c>
      <c r="L28" s="50">
        <f>IFERROR('Financials&gt;'!L5/'Financials&gt;'!L59,0)</f>
        <v>33.189538043478258</v>
      </c>
      <c r="M28" s="39"/>
      <c r="N28" s="50">
        <f t="shared" si="2"/>
        <v>21.605367650579048</v>
      </c>
      <c r="O28" s="50">
        <f t="shared" si="3"/>
        <v>21.051432938246727</v>
      </c>
    </row>
    <row r="29" spans="2:15" x14ac:dyDescent="0.3">
      <c r="B29" s="35" t="s">
        <v>137</v>
      </c>
      <c r="C29" s="51">
        <f>IFERROR('Financials&gt;'!C5/'Financials&gt;'!C50,0)</f>
        <v>2.3769603927858673</v>
      </c>
      <c r="D29" s="51">
        <f>IFERROR('Financials&gt;'!D5/'Financials&gt;'!D50,0)</f>
        <v>1.9842807783040648</v>
      </c>
      <c r="E29" s="51">
        <f>IFERROR('Financials&gt;'!E5/'Financials&gt;'!E50,0)</f>
        <v>2.0414780318629697</v>
      </c>
      <c r="F29" s="51">
        <f>IFERROR('Financials&gt;'!F5/'Financials&gt;'!F50,0)</f>
        <v>2.1667847518227492</v>
      </c>
      <c r="G29" s="51">
        <f>IFERROR('Financials&gt;'!G5/'Financials&gt;'!G50,0)</f>
        <v>1.9731057108276859</v>
      </c>
      <c r="H29" s="51">
        <f>IFERROR('Financials&gt;'!H5/'Financials&gt;'!H50,0)</f>
        <v>1.7323684804395676</v>
      </c>
      <c r="I29" s="51">
        <f>IFERROR('Financials&gt;'!I5/'Financials&gt;'!I50,0)</f>
        <v>2.0170312149360217</v>
      </c>
      <c r="J29" s="51">
        <f>IFERROR('Financials&gt;'!J5/'Financials&gt;'!J50,0)</f>
        <v>2.2286057258733614</v>
      </c>
      <c r="K29" s="51">
        <f>IFERROR('Financials&gt;'!K5/'Financials&gt;'!K50,0)</f>
        <v>2.4473804408505742</v>
      </c>
      <c r="L29" s="51">
        <f>IFERROR('Financials&gt;'!L5/'Financials&gt;'!L50,0)</f>
        <v>2.3228766594994954</v>
      </c>
      <c r="M29" s="35"/>
      <c r="N29" s="51">
        <f t="shared" si="2"/>
        <v>2.1290872187202359</v>
      </c>
      <c r="O29" s="51">
        <f t="shared" si="3"/>
        <v>2.1041313918428592</v>
      </c>
    </row>
    <row r="30" spans="2:15" x14ac:dyDescent="0.3">
      <c r="B30" s="35" t="s">
        <v>138</v>
      </c>
      <c r="C30" s="51">
        <f>IFERROR('Financials&gt;'!C8/'Financials&gt;'!C60,0)</f>
        <v>6.2932009175725057</v>
      </c>
      <c r="D30" s="51">
        <f>IFERROR('Financials&gt;'!D8/'Financials&gt;'!D60,0)</f>
        <v>5.8558479317982366</v>
      </c>
      <c r="E30" s="51">
        <f>IFERROR('Financials&gt;'!E8/'Financials&gt;'!E60,0)</f>
        <v>5.4210412403355388</v>
      </c>
      <c r="F30" s="51">
        <f>IFERROR('Financials&gt;'!F8/'Financials&gt;'!F60,0)</f>
        <v>6.2246170771161839</v>
      </c>
      <c r="G30" s="51">
        <f>IFERROR('Financials&gt;'!G8/'Financials&gt;'!G60,0)</f>
        <v>5.6164867442242938</v>
      </c>
      <c r="H30" s="51">
        <f>IFERROR('Financials&gt;'!H8/'Financials&gt;'!H60,0)</f>
        <v>5.4124043083977522</v>
      </c>
      <c r="I30" s="51">
        <f>IFERROR('Financials&gt;'!I8/'Financials&gt;'!I60,0)</f>
        <v>6.3364885242310374</v>
      </c>
      <c r="J30" s="51">
        <f>IFERROR('Financials&gt;'!J8/'Financials&gt;'!J60,0)</f>
        <v>6.73294109073671</v>
      </c>
      <c r="K30" s="51">
        <f>IFERROR('Financials&gt;'!K8/'Financials&gt;'!K60,0)</f>
        <v>6.9971540972629116</v>
      </c>
      <c r="L30" s="51">
        <f>IFERROR('Financials&gt;'!L8/'Financials&gt;'!L60,0)</f>
        <v>7.2099896337980498</v>
      </c>
      <c r="M30" s="35"/>
      <c r="N30" s="51">
        <f t="shared" si="2"/>
        <v>6.2100171565473223</v>
      </c>
      <c r="O30" s="51">
        <f t="shared" si="3"/>
        <v>6.2589089973443448</v>
      </c>
    </row>
    <row r="31" spans="2:15" x14ac:dyDescent="0.3">
      <c r="B31" s="35" t="s">
        <v>139</v>
      </c>
      <c r="C31" s="51">
        <f>IFERROR('Financials&gt;'!C5/'Financials&gt;'!C53,0)</f>
        <v>2.546312771514708</v>
      </c>
      <c r="D31" s="51">
        <f>IFERROR('Financials&gt;'!D5/'Financials&gt;'!D53,0)</f>
        <v>2.8109343484246239</v>
      </c>
      <c r="E31" s="51">
        <f>IFERROR('Financials&gt;'!E5/'Financials&gt;'!E53,0)</f>
        <v>2.4012948768781421</v>
      </c>
      <c r="F31" s="51">
        <f>IFERROR('Financials&gt;'!F5/'Financials&gt;'!F53,0)</f>
        <v>2.7144319562092578</v>
      </c>
      <c r="G31" s="51">
        <f>IFERROR('Financials&gt;'!G5/'Financials&gt;'!G53,0)</f>
        <v>2.0539205744067566</v>
      </c>
      <c r="H31" s="51">
        <f>IFERROR('Financials&gt;'!H5/'Financials&gt;'!H53,0)</f>
        <v>1.8008727134726064</v>
      </c>
      <c r="I31" s="51">
        <f>IFERROR('Financials&gt;'!I5/'Financials&gt;'!I53,0)</f>
        <v>2.0053488717943728</v>
      </c>
      <c r="J31" s="51">
        <f>IFERROR('Financials&gt;'!J5/'Financials&gt;'!J53,0)</f>
        <v>2.6193791539294131</v>
      </c>
      <c r="K31" s="51">
        <f>IFERROR('Financials&gt;'!K5/'Financials&gt;'!K53,0)</f>
        <v>3.5784804386362699</v>
      </c>
      <c r="L31" s="51">
        <f>IFERROR('Financials&gt;'!L5/'Financials&gt;'!L53,0)</f>
        <v>3.8004010475638954</v>
      </c>
      <c r="M31" s="35"/>
      <c r="N31" s="51">
        <f t="shared" si="2"/>
        <v>2.6331376752830042</v>
      </c>
      <c r="O31" s="51">
        <f t="shared" si="3"/>
        <v>2.5828459627220606</v>
      </c>
    </row>
    <row r="32" spans="2:15" x14ac:dyDescent="0.3">
      <c r="B32" s="42" t="s">
        <v>140</v>
      </c>
      <c r="C32" s="48">
        <f>IFERROR('Financials&gt;'!C5/SUM('Financials&gt;'!C47:C48),0)</f>
        <v>3.4583567493379874</v>
      </c>
      <c r="D32" s="48">
        <f>IFERROR('Financials&gt;'!D5/SUM('Financials&gt;'!D47:D48),0)</f>
        <v>4.6449144180459854</v>
      </c>
      <c r="E32" s="48">
        <f>IFERROR('Financials&gt;'!E5/SUM('Financials&gt;'!E47:E48),0)</f>
        <v>3.0551908765475422</v>
      </c>
      <c r="F32" s="48">
        <f>IFERROR('Financials&gt;'!F5/SUM('Financials&gt;'!F47:F48),0)</f>
        <v>5.0172915853821474</v>
      </c>
      <c r="G32" s="48">
        <f>IFERROR('Financials&gt;'!G5/SUM('Financials&gt;'!G47:G48),0)</f>
        <v>4.1387770133514525</v>
      </c>
      <c r="H32" s="48">
        <f>IFERROR('Financials&gt;'!H5/SUM('Financials&gt;'!H47:H48),0)</f>
        <v>4.5214403678625628</v>
      </c>
      <c r="I32" s="48">
        <f>IFERROR('Financials&gt;'!I5/SUM('Financials&gt;'!I47:I48),0)</f>
        <v>6.2487852671963351</v>
      </c>
      <c r="J32" s="48">
        <f>IFERROR('Financials&gt;'!J5/SUM('Financials&gt;'!J47:J48),0)</f>
        <v>7.6335680916398054</v>
      </c>
      <c r="K32" s="48">
        <f>IFERROR('Financials&gt;'!K5/SUM('Financials&gt;'!K47:K48),0)</f>
        <v>5.1110012011587651</v>
      </c>
      <c r="L32" s="48">
        <f>IFERROR('Financials&gt;'!L5/SUM('Financials&gt;'!L47:L48),0)</f>
        <v>3.7857745557239291</v>
      </c>
      <c r="M32" s="42"/>
      <c r="N32" s="48">
        <f t="shared" si="2"/>
        <v>4.7615100126246501</v>
      </c>
      <c r="O32" s="48">
        <f t="shared" si="3"/>
        <v>4.5831773929542745</v>
      </c>
    </row>
    <row r="33" spans="2:15" x14ac:dyDescent="0.3">
      <c r="N33" s="31"/>
      <c r="O33" s="35"/>
    </row>
    <row r="34" spans="2:15" x14ac:dyDescent="0.3">
      <c r="B34" s="39" t="s">
        <v>141</v>
      </c>
      <c r="C34" s="52">
        <f>IFERROR(365/C28,0)</f>
        <v>18.141226776772818</v>
      </c>
      <c r="D34" s="52">
        <f t="shared" ref="D34:L34" si="6">IFERROR(365/D28,0)</f>
        <v>19.049753180019717</v>
      </c>
      <c r="E34" s="52">
        <f t="shared" si="6"/>
        <v>24.904964999543136</v>
      </c>
      <c r="F34" s="52">
        <f t="shared" si="6"/>
        <v>22.963631157878556</v>
      </c>
      <c r="G34" s="52">
        <f t="shared" si="6"/>
        <v>15.620575170519771</v>
      </c>
      <c r="H34" s="52">
        <f t="shared" si="6"/>
        <v>18.52666719376608</v>
      </c>
      <c r="I34" s="52">
        <f t="shared" si="6"/>
        <v>16.309264717046954</v>
      </c>
      <c r="J34" s="52">
        <f t="shared" si="6"/>
        <v>16.603778823163378</v>
      </c>
      <c r="K34" s="52">
        <f t="shared" si="6"/>
        <v>14.256340780063407</v>
      </c>
      <c r="L34" s="52">
        <f t="shared" si="6"/>
        <v>10.997441408248902</v>
      </c>
      <c r="M34" s="39"/>
      <c r="N34" s="52">
        <f t="shared" si="2"/>
        <v>17.737364420702271</v>
      </c>
      <c r="O34" s="52">
        <f t="shared" si="3"/>
        <v>17.372502799968096</v>
      </c>
    </row>
    <row r="35" spans="2:15" x14ac:dyDescent="0.3">
      <c r="B35" s="35" t="s">
        <v>142</v>
      </c>
      <c r="C35" s="53">
        <f>IFERROR(365/C29,0)</f>
        <v>153.55745981623585</v>
      </c>
      <c r="D35" s="53">
        <f t="shared" ref="D35:L35" si="7">IFERROR(365/D29,0)</f>
        <v>183.94574194885871</v>
      </c>
      <c r="E35" s="53">
        <f t="shared" si="7"/>
        <v>178.79202925682029</v>
      </c>
      <c r="F35" s="53">
        <f t="shared" si="7"/>
        <v>168.45235766633192</v>
      </c>
      <c r="G35" s="53">
        <f t="shared" si="7"/>
        <v>184.98755439052903</v>
      </c>
      <c r="H35" s="53">
        <f t="shared" si="7"/>
        <v>210.69420514242194</v>
      </c>
      <c r="I35" s="53">
        <f t="shared" si="7"/>
        <v>180.95902398395825</v>
      </c>
      <c r="J35" s="53">
        <f t="shared" si="7"/>
        <v>163.77953074537726</v>
      </c>
      <c r="K35" s="53">
        <f t="shared" si="7"/>
        <v>149.13905247732802</v>
      </c>
      <c r="L35" s="53">
        <f t="shared" si="7"/>
        <v>157.13275111156597</v>
      </c>
      <c r="M35" s="35"/>
      <c r="N35" s="53">
        <f t="shared" si="2"/>
        <v>173.14397065394274</v>
      </c>
      <c r="O35" s="53">
        <f t="shared" si="3"/>
        <v>173.6221934615761</v>
      </c>
    </row>
    <row r="36" spans="2:15" x14ac:dyDescent="0.3">
      <c r="B36" s="35" t="s">
        <v>143</v>
      </c>
      <c r="C36" s="53">
        <f>IFERROR(365/C30,0)</f>
        <v>57.999101694149068</v>
      </c>
      <c r="D36" s="53">
        <f t="shared" ref="D36:L36" si="8">IFERROR(365/D30,0)</f>
        <v>62.330853575959303</v>
      </c>
      <c r="E36" s="53">
        <f t="shared" si="8"/>
        <v>67.330238568229021</v>
      </c>
      <c r="F36" s="53">
        <f t="shared" si="8"/>
        <v>58.638145202837379</v>
      </c>
      <c r="G36" s="53">
        <f t="shared" si="8"/>
        <v>64.987244984660066</v>
      </c>
      <c r="H36" s="53">
        <f t="shared" si="8"/>
        <v>67.437681888190625</v>
      </c>
      <c r="I36" s="53">
        <f t="shared" si="8"/>
        <v>57.602881880748683</v>
      </c>
      <c r="J36" s="53">
        <f t="shared" si="8"/>
        <v>54.211078796185063</v>
      </c>
      <c r="K36" s="53">
        <f t="shared" si="8"/>
        <v>52.164064836413658</v>
      </c>
      <c r="L36" s="53">
        <f t="shared" si="8"/>
        <v>50.624205933528749</v>
      </c>
      <c r="M36" s="35"/>
      <c r="N36" s="53">
        <f t="shared" si="2"/>
        <v>59.332549736090165</v>
      </c>
      <c r="O36" s="53">
        <f t="shared" si="3"/>
        <v>58.318623448493227</v>
      </c>
    </row>
    <row r="37" spans="2:15" x14ac:dyDescent="0.3">
      <c r="B37" s="42" t="s">
        <v>150</v>
      </c>
      <c r="C37" s="54">
        <f>IFERROR(SUM(C36,C34)-C35,0)</f>
        <v>-77.417131345313962</v>
      </c>
      <c r="D37" s="54">
        <f t="shared" ref="D37:L37" si="9">IFERROR(SUM(D36,D34)-D35,0)</f>
        <v>-102.56513519287969</v>
      </c>
      <c r="E37" s="54">
        <f t="shared" si="9"/>
        <v>-86.556825689048125</v>
      </c>
      <c r="F37" s="54">
        <f t="shared" si="9"/>
        <v>-86.850581305615989</v>
      </c>
      <c r="G37" s="54">
        <f t="shared" si="9"/>
        <v>-104.37973423534919</v>
      </c>
      <c r="H37" s="54">
        <f t="shared" si="9"/>
        <v>-124.72985606046524</v>
      </c>
      <c r="I37" s="54">
        <f t="shared" si="9"/>
        <v>-107.04687738616261</v>
      </c>
      <c r="J37" s="54">
        <f t="shared" si="9"/>
        <v>-92.964673126028813</v>
      </c>
      <c r="K37" s="54">
        <f t="shared" si="9"/>
        <v>-82.718646860850953</v>
      </c>
      <c r="L37" s="54">
        <f t="shared" si="9"/>
        <v>-95.511103769788321</v>
      </c>
      <c r="M37" s="42"/>
      <c r="N37" s="54">
        <f t="shared" si="2"/>
        <v>-96.074056497150281</v>
      </c>
      <c r="O37" s="54">
        <f t="shared" si="3"/>
        <v>-94.237888447908574</v>
      </c>
    </row>
    <row r="38" spans="2:15" x14ac:dyDescent="0.3">
      <c r="N38" s="45"/>
      <c r="O38" s="35"/>
    </row>
    <row r="39" spans="2:15" x14ac:dyDescent="0.3">
      <c r="B39" s="39" t="s">
        <v>144</v>
      </c>
      <c r="C39" s="44">
        <f>IFERROR('Financials&gt;'!C70/'Financials&gt;'!C5,0)</f>
        <v>0.14146355041062739</v>
      </c>
      <c r="D39" s="44">
        <f>IFERROR('Financials&gt;'!D70/'Financials&gt;'!D5,0)</f>
        <v>0.10693659975948164</v>
      </c>
      <c r="E39" s="44">
        <f>IFERROR('Financials&gt;'!E70/'Financials&gt;'!E5,0)</f>
        <v>0.11425808662705683</v>
      </c>
      <c r="F39" s="44">
        <f>IFERROR('Financials&gt;'!F70/'Financials&gt;'!F5,0)</f>
        <v>9.5287648076561302E-2</v>
      </c>
      <c r="G39" s="44">
        <f>IFERROR('Financials&gt;'!G70/'Financials&gt;'!G5,0)</f>
        <v>8.9447970197186574E-2</v>
      </c>
      <c r="H39" s="44">
        <f>IFERROR('Financials&gt;'!H70/'Financials&gt;'!H5,0)</f>
        <v>0.12489453841603956</v>
      </c>
      <c r="I39" s="44">
        <f>IFERROR('Financials&gt;'!I70/'Financials&gt;'!I5,0)</f>
        <v>9.6759381328926516E-2</v>
      </c>
      <c r="J39" s="44">
        <f>IFERROR('Financials&gt;'!J70/'Financials&gt;'!J5,0)</f>
        <v>0.12051439477011347</v>
      </c>
      <c r="K39" s="44">
        <f>IFERROR('Financials&gt;'!K70/'Financials&gt;'!K5,0)</f>
        <v>0.15000829462508294</v>
      </c>
      <c r="L39" s="44">
        <f>IFERROR('Financials&gt;'!L70/'Financials&gt;'!L5,0)</f>
        <v>0.13404064180852637</v>
      </c>
      <c r="M39" s="39"/>
      <c r="N39" s="44">
        <f t="shared" si="2"/>
        <v>0.11736111060196026</v>
      </c>
      <c r="O39" s="44">
        <f t="shared" si="3"/>
        <v>0.11738624069858515</v>
      </c>
    </row>
    <row r="40" spans="2:15" x14ac:dyDescent="0.3">
      <c r="B40" s="35" t="s">
        <v>145</v>
      </c>
      <c r="C40" s="45">
        <f>IFERROR('Financials&gt;'!C77/'Financials&gt;'!C64,0)</f>
        <v>0.14400184935170102</v>
      </c>
      <c r="D40" s="45">
        <f>IFERROR('Financials&gt;'!D77/'Financials&gt;'!D64,0)</f>
        <v>0.11079301531482313</v>
      </c>
      <c r="E40" s="45">
        <f>IFERROR('Financials&gt;'!E77/'Financials&gt;'!E64,0)</f>
        <v>7.291441677589669E-2</v>
      </c>
      <c r="F40" s="45">
        <f>IFERROR('Financials&gt;'!F77/'Financials&gt;'!F64,0)</f>
        <v>6.1798443975893111E-2</v>
      </c>
      <c r="G40" s="45">
        <f>IFERROR('Financials&gt;'!G77/'Financials&gt;'!G64,0)</f>
        <v>8.3181493974362308E-2</v>
      </c>
      <c r="H40" s="45">
        <f>IFERROR('Financials&gt;'!H77/'Financials&gt;'!H64,0)</f>
        <v>8.4902092224692749E-2</v>
      </c>
      <c r="I40" s="45">
        <f>IFERROR('Financials&gt;'!I77/'Financials&gt;'!I64,0)</f>
        <v>4.3402222484314405E-2</v>
      </c>
      <c r="J40" s="45">
        <f>IFERROR('Financials&gt;'!J77/'Financials&gt;'!J64,0)</f>
        <v>0.10573858301633619</v>
      </c>
      <c r="K40" s="45">
        <f>IFERROR('Financials&gt;'!K77/'Financials&gt;'!K64,0)</f>
        <v>0.18379199017105929</v>
      </c>
      <c r="L40" s="45">
        <f>IFERROR('Financials&gt;'!L77/'Financials&gt;'!L64,0)</f>
        <v>0.1673912985810655</v>
      </c>
      <c r="M40" s="35"/>
      <c r="N40" s="45">
        <f t="shared" si="2"/>
        <v>0.10579154058701443</v>
      </c>
      <c r="O40" s="45">
        <f t="shared" si="3"/>
        <v>9.5320337620514478E-2</v>
      </c>
    </row>
    <row r="41" spans="2:15" x14ac:dyDescent="0.3">
      <c r="B41" s="42" t="s">
        <v>146</v>
      </c>
      <c r="C41" s="46">
        <f>IFERROR('Financials&gt;'!C77/'Financials&gt;'!C49,0)</f>
        <v>0.54641034971761804</v>
      </c>
      <c r="D41" s="46">
        <f>IFERROR('Financials&gt;'!D77/'Financials&gt;'!D49,0)</f>
        <v>0.38420446394699098</v>
      </c>
      <c r="E41" s="46">
        <f>IFERROR('Financials&gt;'!E77/'Financials&gt;'!E49,0)</f>
        <v>0.2682054406233042</v>
      </c>
      <c r="F41" s="46">
        <f>IFERROR('Financials&gt;'!F77/'Financials&gt;'!F49,0)</f>
        <v>0.17793208856218404</v>
      </c>
      <c r="G41" s="46">
        <f>IFERROR('Financials&gt;'!G77/'Financials&gt;'!G49,0)</f>
        <v>0.21342658615869328</v>
      </c>
      <c r="H41" s="46">
        <f>IFERROR('Financials&gt;'!H77/'Financials&gt;'!H49,0)</f>
        <v>0.20403773797572189</v>
      </c>
      <c r="I41" s="46">
        <f>IFERROR('Financials&gt;'!I77/'Financials&gt;'!I49,0)</f>
        <v>9.7521984269885564E-2</v>
      </c>
      <c r="J41" s="46">
        <f>IFERROR('Financials&gt;'!J77/'Financials&gt;'!J49,0)</f>
        <v>0.26386617180202071</v>
      </c>
      <c r="K41" s="46">
        <f>IFERROR('Financials&gt;'!K77/'Financials&gt;'!K49,0)</f>
        <v>0.63315744331742241</v>
      </c>
      <c r="L41" s="46">
        <f>IFERROR('Financials&gt;'!L77/'Financials&gt;'!L49,0)</f>
        <v>0.88205199888174446</v>
      </c>
      <c r="M41" s="42"/>
      <c r="N41" s="46">
        <f t="shared" si="2"/>
        <v>0.36708142652555859</v>
      </c>
      <c r="O41" s="46">
        <f t="shared" si="3"/>
        <v>0.26603580621266243</v>
      </c>
    </row>
  </sheetData>
  <mergeCells count="1">
    <mergeCell ref="B2:L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D6F7CAA9-DD57-4514-AD33-CDFFAD5FADC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  <x14:sparkline>
              <xm:f>'Ratio Analysis'!C16:L16</xm:f>
              <xm:sqref>M16</xm:sqref>
            </x14:sparkline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  <x14:sparkline>
              <xm:f>'Ratio Analysis'!C26:L26</xm:f>
              <xm:sqref>M26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Analysis'!C37:L37</xm:f>
              <xm:sqref>M37</xm:sqref>
            </x14:sparkline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  <x14:sparkline>
              <xm:f>'Ratio Analysis'!C41:L41</xm:f>
              <xm:sqref>M41</xm:sqref>
            </x14:sparkline>
          </x14:sparklines>
        </x14:sparklineGroup>
        <x14:sparklineGroup displayEmptyCellsAs="gap" xr2:uid="{FA74A157-0B6F-42A6-A5A5-6835CFB51C8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28DCD-89CA-48D9-A0E4-5678921049B7}">
  <sheetPr>
    <tabColor theme="7" tint="-0.499984740745262"/>
  </sheetPr>
  <dimension ref="B2:L33"/>
  <sheetViews>
    <sheetView workbookViewId="0">
      <selection activeCell="C25" sqref="C25"/>
    </sheetView>
  </sheetViews>
  <sheetFormatPr defaultRowHeight="14.4" x14ac:dyDescent="0.3"/>
  <cols>
    <col min="2" max="2" width="25.77734375" bestFit="1" customWidth="1"/>
    <col min="3" max="12" width="7.109375" bestFit="1" customWidth="1"/>
  </cols>
  <sheetData>
    <row r="2" spans="2:12" x14ac:dyDescent="0.3">
      <c r="C2" s="22">
        <v>42430</v>
      </c>
      <c r="D2" s="22">
        <v>42795</v>
      </c>
      <c r="E2" s="22">
        <v>43160</v>
      </c>
      <c r="F2" s="22">
        <v>43525</v>
      </c>
      <c r="G2" s="22">
        <v>43891</v>
      </c>
      <c r="H2" s="22">
        <v>44256</v>
      </c>
      <c r="I2" s="22">
        <v>44621</v>
      </c>
      <c r="J2" s="22">
        <v>44986</v>
      </c>
      <c r="K2" s="22">
        <v>45352</v>
      </c>
      <c r="L2" s="22">
        <v>45717</v>
      </c>
    </row>
    <row r="3" spans="2:12" x14ac:dyDescent="0.3">
      <c r="B3" s="24" t="s">
        <v>89</v>
      </c>
      <c r="C3" s="23">
        <v>37900</v>
      </c>
      <c r="D3" s="23">
        <v>30199</v>
      </c>
      <c r="E3" s="23">
        <v>23857</v>
      </c>
      <c r="F3" s="23">
        <v>18891</v>
      </c>
      <c r="G3" s="23">
        <v>26633</v>
      </c>
      <c r="H3" s="23">
        <v>29001</v>
      </c>
      <c r="I3" s="23">
        <v>14283</v>
      </c>
      <c r="J3" s="23">
        <v>35388</v>
      </c>
      <c r="K3" s="23">
        <v>67915</v>
      </c>
      <c r="L3" s="23">
        <v>63102</v>
      </c>
    </row>
    <row r="4" spans="2:12" x14ac:dyDescent="0.3">
      <c r="B4" t="s">
        <v>90</v>
      </c>
      <c r="C4" s="23">
        <v>38626</v>
      </c>
      <c r="D4" s="23">
        <v>28840</v>
      </c>
      <c r="E4" s="23">
        <v>33312</v>
      </c>
      <c r="F4" s="23">
        <v>28771</v>
      </c>
      <c r="G4" s="23">
        <v>23352</v>
      </c>
      <c r="H4" s="23">
        <v>31198</v>
      </c>
      <c r="I4" s="23">
        <v>26943</v>
      </c>
      <c r="J4" s="23">
        <v>41694</v>
      </c>
      <c r="K4" s="23">
        <v>65106</v>
      </c>
      <c r="L4" s="23">
        <v>58937</v>
      </c>
    </row>
    <row r="5" spans="2:12" x14ac:dyDescent="0.3">
      <c r="B5" t="s">
        <v>42</v>
      </c>
      <c r="C5" s="23">
        <v>-2223</v>
      </c>
      <c r="D5" s="23">
        <v>-4152</v>
      </c>
      <c r="E5" s="23">
        <v>-10688</v>
      </c>
      <c r="F5" s="23">
        <v>-9109</v>
      </c>
      <c r="G5" s="23">
        <v>9950</v>
      </c>
      <c r="H5" s="23">
        <v>-5505</v>
      </c>
      <c r="I5">
        <v>185</v>
      </c>
      <c r="J5" s="23">
        <v>-2213</v>
      </c>
      <c r="K5" s="23">
        <v>-1876</v>
      </c>
      <c r="L5" s="23">
        <v>3573</v>
      </c>
    </row>
    <row r="6" spans="2:12" x14ac:dyDescent="0.3">
      <c r="B6" t="s">
        <v>29</v>
      </c>
      <c r="C6" s="23">
        <v>-5743</v>
      </c>
      <c r="D6" s="23">
        <v>-6621</v>
      </c>
      <c r="E6" s="23">
        <v>-3560</v>
      </c>
      <c r="F6" s="23">
        <v>2069</v>
      </c>
      <c r="G6" s="23">
        <v>2326</v>
      </c>
      <c r="H6" s="23">
        <v>3814</v>
      </c>
      <c r="I6">
        <v>472</v>
      </c>
      <c r="J6" s="23">
        <v>-5665</v>
      </c>
      <c r="K6" s="23">
        <v>-7265</v>
      </c>
      <c r="L6" s="23">
        <v>2127</v>
      </c>
    </row>
    <row r="7" spans="2:12" x14ac:dyDescent="0.3">
      <c r="B7" t="s">
        <v>91</v>
      </c>
      <c r="C7" s="23">
        <v>3947</v>
      </c>
      <c r="D7" s="23">
        <v>9301</v>
      </c>
      <c r="E7" s="23">
        <v>7320</v>
      </c>
      <c r="F7" s="23">
        <v>-4692</v>
      </c>
      <c r="G7" s="23">
        <v>-8085</v>
      </c>
      <c r="H7" s="23">
        <v>5748</v>
      </c>
      <c r="I7" s="23">
        <v>-7012</v>
      </c>
      <c r="J7" s="23">
        <v>6945</v>
      </c>
      <c r="K7" s="23">
        <v>13706</v>
      </c>
      <c r="L7" s="23">
        <v>1303</v>
      </c>
    </row>
    <row r="8" spans="2:12" x14ac:dyDescent="0.3">
      <c r="B8" t="s">
        <v>92</v>
      </c>
      <c r="C8">
        <v>-520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2:12" x14ac:dyDescent="0.3">
      <c r="B9" t="s">
        <v>93</v>
      </c>
      <c r="C9" s="23">
        <v>5852</v>
      </c>
      <c r="D9" s="23">
        <v>4727</v>
      </c>
      <c r="E9">
        <v>494</v>
      </c>
      <c r="F9" s="23">
        <v>4512</v>
      </c>
      <c r="G9">
        <v>875</v>
      </c>
      <c r="H9" s="23">
        <v>-4150</v>
      </c>
      <c r="I9" s="23">
        <v>-4396</v>
      </c>
      <c r="J9" s="23">
        <v>-2194</v>
      </c>
      <c r="K9" s="23">
        <v>2760</v>
      </c>
      <c r="L9" s="23">
        <v>1153</v>
      </c>
    </row>
    <row r="10" spans="2:12" x14ac:dyDescent="0.3">
      <c r="B10" t="s">
        <v>94</v>
      </c>
      <c r="C10" s="23">
        <v>1313</v>
      </c>
      <c r="D10" s="23">
        <v>3254</v>
      </c>
      <c r="E10" s="23">
        <v>-6434</v>
      </c>
      <c r="F10" s="23">
        <v>-7221</v>
      </c>
      <c r="G10" s="23">
        <v>5065</v>
      </c>
      <c r="H10">
        <v>-93</v>
      </c>
      <c r="I10" s="23">
        <v>-10750</v>
      </c>
      <c r="J10" s="23">
        <v>-3127</v>
      </c>
      <c r="K10" s="23">
        <v>7325</v>
      </c>
      <c r="L10" s="23">
        <v>8156</v>
      </c>
    </row>
    <row r="11" spans="2:12" x14ac:dyDescent="0.3">
      <c r="B11" t="s">
        <v>95</v>
      </c>
      <c r="C11" s="23">
        <v>-2040</v>
      </c>
      <c r="D11" s="23">
        <v>-1895</v>
      </c>
      <c r="E11" s="23">
        <v>-3021</v>
      </c>
      <c r="F11" s="23">
        <v>-2659</v>
      </c>
      <c r="G11" s="23">
        <v>-1785</v>
      </c>
      <c r="H11" s="23">
        <v>-2105</v>
      </c>
      <c r="I11" s="23">
        <v>-1910</v>
      </c>
      <c r="J11" s="23">
        <v>-3179</v>
      </c>
      <c r="K11" s="23">
        <v>-4516</v>
      </c>
      <c r="L11" s="23">
        <v>-3991</v>
      </c>
    </row>
    <row r="12" spans="2:12" x14ac:dyDescent="0.3">
      <c r="B12" s="24" t="s">
        <v>96</v>
      </c>
      <c r="C12" s="23">
        <v>-36694</v>
      </c>
      <c r="D12" s="23">
        <v>-39571</v>
      </c>
      <c r="E12" s="23">
        <v>-25139</v>
      </c>
      <c r="F12" s="23">
        <v>-20878</v>
      </c>
      <c r="G12" s="23">
        <v>-33115</v>
      </c>
      <c r="H12" s="23">
        <v>-25672</v>
      </c>
      <c r="I12" s="23">
        <v>-4444</v>
      </c>
      <c r="J12" s="23">
        <v>-15417</v>
      </c>
      <c r="K12" s="23">
        <v>-22781</v>
      </c>
      <c r="L12" s="23">
        <v>-49982</v>
      </c>
    </row>
    <row r="13" spans="2:12" x14ac:dyDescent="0.3">
      <c r="B13" t="s">
        <v>97</v>
      </c>
      <c r="C13" s="23">
        <v>-31503</v>
      </c>
      <c r="D13" s="23">
        <v>-16072</v>
      </c>
      <c r="E13" s="23">
        <v>-35079</v>
      </c>
      <c r="F13" s="23">
        <v>-35304</v>
      </c>
      <c r="G13" s="23">
        <v>-29702</v>
      </c>
      <c r="H13" s="23">
        <v>-20205</v>
      </c>
      <c r="I13" s="23">
        <v>-15168</v>
      </c>
      <c r="J13" s="23">
        <v>-19230</v>
      </c>
      <c r="K13" s="23">
        <v>-31414</v>
      </c>
      <c r="L13" s="23">
        <v>-38042</v>
      </c>
    </row>
    <row r="14" spans="2:12" x14ac:dyDescent="0.3">
      <c r="B14" t="s">
        <v>98</v>
      </c>
      <c r="C14">
        <v>59</v>
      </c>
      <c r="D14">
        <v>53</v>
      </c>
      <c r="E14">
        <v>30</v>
      </c>
      <c r="F14">
        <v>67</v>
      </c>
      <c r="G14">
        <v>171</v>
      </c>
      <c r="H14">
        <v>351</v>
      </c>
      <c r="I14">
        <v>230</v>
      </c>
      <c r="J14">
        <v>285</v>
      </c>
      <c r="K14">
        <v>231</v>
      </c>
      <c r="L14">
        <v>974</v>
      </c>
    </row>
    <row r="15" spans="2:12" x14ac:dyDescent="0.3">
      <c r="B15" t="s">
        <v>99</v>
      </c>
      <c r="C15" s="23">
        <v>-4728</v>
      </c>
      <c r="D15">
        <v>-6</v>
      </c>
      <c r="E15">
        <v>-329</v>
      </c>
      <c r="F15">
        <v>-130</v>
      </c>
      <c r="G15" s="23">
        <v>-1439</v>
      </c>
      <c r="H15" s="23">
        <v>-7530</v>
      </c>
      <c r="I15" s="23">
        <v>-3008</v>
      </c>
      <c r="J15">
        <v>-50</v>
      </c>
      <c r="K15">
        <v>-74</v>
      </c>
      <c r="L15" s="23">
        <v>-12677</v>
      </c>
    </row>
    <row r="16" spans="2:12" x14ac:dyDescent="0.3">
      <c r="B16" t="s">
        <v>100</v>
      </c>
      <c r="C16">
        <v>89</v>
      </c>
      <c r="D16" s="23">
        <v>1965</v>
      </c>
      <c r="E16" s="23">
        <v>2381</v>
      </c>
      <c r="F16" s="23">
        <v>5644</v>
      </c>
      <c r="G16">
        <v>21</v>
      </c>
      <c r="H16">
        <v>226</v>
      </c>
      <c r="I16">
        <v>104</v>
      </c>
      <c r="J16" s="23">
        <v>6895</v>
      </c>
      <c r="K16" s="23">
        <v>10821</v>
      </c>
      <c r="L16">
        <v>111</v>
      </c>
    </row>
    <row r="17" spans="2:12" x14ac:dyDescent="0.3">
      <c r="B17" t="s">
        <v>101</v>
      </c>
      <c r="C17">
        <v>731</v>
      </c>
      <c r="D17">
        <v>638</v>
      </c>
      <c r="E17">
        <v>690</v>
      </c>
      <c r="F17">
        <v>761</v>
      </c>
      <c r="G17" s="23">
        <v>1104</v>
      </c>
      <c r="H17">
        <v>428</v>
      </c>
      <c r="I17">
        <v>653</v>
      </c>
      <c r="J17">
        <v>973</v>
      </c>
      <c r="K17" s="23">
        <v>2493</v>
      </c>
      <c r="L17" s="23">
        <v>2420</v>
      </c>
    </row>
    <row r="18" spans="2:12" x14ac:dyDescent="0.3">
      <c r="B18" t="s">
        <v>102</v>
      </c>
      <c r="C18">
        <v>58</v>
      </c>
      <c r="D18">
        <v>620</v>
      </c>
      <c r="E18" s="23">
        <v>1797</v>
      </c>
      <c r="F18">
        <v>232</v>
      </c>
      <c r="G18">
        <v>21</v>
      </c>
      <c r="H18">
        <v>18</v>
      </c>
      <c r="I18">
        <v>32</v>
      </c>
      <c r="J18">
        <v>46</v>
      </c>
      <c r="K18">
        <v>47</v>
      </c>
      <c r="L18">
        <v>64</v>
      </c>
    </row>
    <row r="19" spans="2:12" x14ac:dyDescent="0.3">
      <c r="B19" t="s">
        <v>103</v>
      </c>
      <c r="C19">
        <v>0</v>
      </c>
      <c r="D19">
        <v>-107</v>
      </c>
      <c r="E19">
        <v>-4</v>
      </c>
      <c r="F19">
        <v>-9</v>
      </c>
      <c r="G19">
        <v>-606</v>
      </c>
      <c r="H19">
        <v>-10</v>
      </c>
      <c r="I19">
        <v>0</v>
      </c>
      <c r="J19">
        <v>0</v>
      </c>
      <c r="K19">
        <v>-150</v>
      </c>
      <c r="L19">
        <v>0</v>
      </c>
    </row>
    <row r="20" spans="2:12" x14ac:dyDescent="0.3">
      <c r="B20" t="s">
        <v>104</v>
      </c>
      <c r="C20">
        <v>0</v>
      </c>
      <c r="D20">
        <v>0</v>
      </c>
      <c r="E20">
        <v>14</v>
      </c>
      <c r="F20">
        <v>533</v>
      </c>
      <c r="G20">
        <v>0</v>
      </c>
      <c r="H20">
        <v>0</v>
      </c>
      <c r="I20">
        <v>0</v>
      </c>
      <c r="J20">
        <v>19</v>
      </c>
      <c r="K20">
        <v>107</v>
      </c>
      <c r="L20">
        <v>765</v>
      </c>
    </row>
    <row r="21" spans="2:12" x14ac:dyDescent="0.3">
      <c r="B21" t="s">
        <v>105</v>
      </c>
      <c r="C21">
        <v>-111</v>
      </c>
      <c r="D21">
        <v>0</v>
      </c>
      <c r="E21">
        <v>0</v>
      </c>
      <c r="F21">
        <v>-8</v>
      </c>
      <c r="G21">
        <v>-27</v>
      </c>
      <c r="H21">
        <v>0</v>
      </c>
      <c r="I21">
        <v>-98</v>
      </c>
      <c r="J21">
        <v>0</v>
      </c>
      <c r="K21">
        <v>0</v>
      </c>
      <c r="L21">
        <v>-688</v>
      </c>
    </row>
    <row r="22" spans="2:12" x14ac:dyDescent="0.3">
      <c r="B22" t="s">
        <v>106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-25</v>
      </c>
      <c r="L22">
        <v>-20</v>
      </c>
    </row>
    <row r="23" spans="2:12" x14ac:dyDescent="0.3">
      <c r="B23" t="s">
        <v>107</v>
      </c>
      <c r="C23" s="23">
        <v>-1289</v>
      </c>
      <c r="D23" s="23">
        <v>-26663</v>
      </c>
      <c r="E23" s="23">
        <v>5360</v>
      </c>
      <c r="F23" s="23">
        <v>7335</v>
      </c>
      <c r="G23" s="23">
        <v>-2659</v>
      </c>
      <c r="H23" s="23">
        <v>1051</v>
      </c>
      <c r="I23" s="23">
        <v>12813</v>
      </c>
      <c r="J23" s="23">
        <v>-4357</v>
      </c>
      <c r="K23" s="23">
        <v>-4817</v>
      </c>
      <c r="L23" s="23">
        <v>-2889</v>
      </c>
    </row>
    <row r="24" spans="2:12" x14ac:dyDescent="0.3">
      <c r="B24" s="24" t="s">
        <v>108</v>
      </c>
      <c r="C24" s="23">
        <v>-3795</v>
      </c>
      <c r="D24" s="23">
        <v>6205</v>
      </c>
      <c r="E24" s="23">
        <v>2012</v>
      </c>
      <c r="F24" s="23">
        <v>8830</v>
      </c>
      <c r="G24" s="23">
        <v>3390</v>
      </c>
      <c r="H24" s="23">
        <v>9904</v>
      </c>
      <c r="I24" s="23">
        <v>-3380</v>
      </c>
      <c r="J24" s="23">
        <v>-26243</v>
      </c>
      <c r="K24" s="23">
        <v>-37006</v>
      </c>
      <c r="L24" s="23">
        <v>-18786</v>
      </c>
    </row>
    <row r="25" spans="2:12" x14ac:dyDescent="0.3">
      <c r="B25" t="s">
        <v>109</v>
      </c>
      <c r="C25" s="23">
        <v>7433</v>
      </c>
      <c r="D25">
        <v>5</v>
      </c>
      <c r="E25">
        <v>0</v>
      </c>
      <c r="F25">
        <v>0</v>
      </c>
      <c r="G25" s="23">
        <v>3889</v>
      </c>
      <c r="H25" s="23">
        <v>2603</v>
      </c>
      <c r="I25">
        <v>19</v>
      </c>
      <c r="J25">
        <v>20</v>
      </c>
      <c r="K25">
        <v>82</v>
      </c>
      <c r="L25" s="23">
        <v>1108</v>
      </c>
    </row>
    <row r="26" spans="2:12" x14ac:dyDescent="0.3">
      <c r="B26" t="s">
        <v>110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2:12" x14ac:dyDescent="0.3">
      <c r="B27" t="s">
        <v>111</v>
      </c>
      <c r="C27" s="23">
        <v>19519</v>
      </c>
      <c r="D27" s="23">
        <v>33390</v>
      </c>
      <c r="E27" s="23">
        <v>37482</v>
      </c>
      <c r="F27" s="23">
        <v>51128</v>
      </c>
      <c r="G27" s="23">
        <v>38297</v>
      </c>
      <c r="H27" s="23">
        <v>46641</v>
      </c>
      <c r="I27" s="23">
        <v>46578</v>
      </c>
      <c r="J27" s="23">
        <v>43934</v>
      </c>
      <c r="K27" s="23">
        <v>18829</v>
      </c>
      <c r="L27" s="23">
        <v>13384</v>
      </c>
    </row>
    <row r="28" spans="2:12" x14ac:dyDescent="0.3">
      <c r="B28" t="s">
        <v>112</v>
      </c>
      <c r="C28" s="23">
        <v>-24924</v>
      </c>
      <c r="D28" s="23">
        <v>-21732</v>
      </c>
      <c r="E28" s="23">
        <v>-29964</v>
      </c>
      <c r="F28" s="23">
        <v>-35198</v>
      </c>
      <c r="G28" s="23">
        <v>-29847</v>
      </c>
      <c r="H28" s="23">
        <v>-29709</v>
      </c>
      <c r="I28" s="23">
        <v>-42816</v>
      </c>
      <c r="J28" s="23">
        <v>-62557</v>
      </c>
      <c r="K28" s="23">
        <v>-47414</v>
      </c>
      <c r="L28" s="23">
        <v>-21443</v>
      </c>
    </row>
    <row r="29" spans="2:12" x14ac:dyDescent="0.3">
      <c r="B29" t="s">
        <v>113</v>
      </c>
      <c r="C29" s="23">
        <v>-5716</v>
      </c>
      <c r="D29" s="23">
        <v>-5336</v>
      </c>
      <c r="E29" s="23">
        <v>-5411</v>
      </c>
      <c r="F29" s="23">
        <v>-7005</v>
      </c>
      <c r="G29" s="23">
        <v>-7518</v>
      </c>
      <c r="H29" s="23">
        <v>-8123</v>
      </c>
      <c r="I29" s="23">
        <v>-9251</v>
      </c>
      <c r="J29" s="23">
        <v>-9336</v>
      </c>
      <c r="K29" s="23">
        <v>-9332</v>
      </c>
      <c r="L29" s="23">
        <v>-5814</v>
      </c>
    </row>
    <row r="30" spans="2:12" x14ac:dyDescent="0.3">
      <c r="B30" t="s">
        <v>114</v>
      </c>
      <c r="C30">
        <v>-108</v>
      </c>
      <c r="D30">
        <v>-121</v>
      </c>
      <c r="E30">
        <v>-96</v>
      </c>
      <c r="F30">
        <v>-95</v>
      </c>
      <c r="G30">
        <v>-57</v>
      </c>
      <c r="H30">
        <v>-30</v>
      </c>
      <c r="I30">
        <v>-100</v>
      </c>
      <c r="J30">
        <v>-141</v>
      </c>
      <c r="K30" s="23">
        <v>-1059</v>
      </c>
      <c r="L30" s="23">
        <v>-2492</v>
      </c>
    </row>
    <row r="31" spans="2:12" x14ac:dyDescent="0.3">
      <c r="B31" t="s">
        <v>115</v>
      </c>
      <c r="C31">
        <v>0</v>
      </c>
      <c r="D31">
        <v>0</v>
      </c>
      <c r="E31">
        <v>0</v>
      </c>
      <c r="F31">
        <v>0</v>
      </c>
      <c r="G31" s="23">
        <v>-1346</v>
      </c>
      <c r="H31" s="23">
        <v>-1477</v>
      </c>
      <c r="I31" s="23">
        <v>-1559</v>
      </c>
      <c r="J31" s="23">
        <v>-1517</v>
      </c>
      <c r="K31" s="23">
        <v>-1924</v>
      </c>
      <c r="L31" s="23">
        <v>-2393</v>
      </c>
    </row>
    <row r="32" spans="2:12" x14ac:dyDescent="0.3">
      <c r="B32" t="s">
        <v>116</v>
      </c>
      <c r="C32">
        <v>0</v>
      </c>
      <c r="D32">
        <v>0</v>
      </c>
      <c r="E32">
        <v>0</v>
      </c>
      <c r="F32">
        <v>0</v>
      </c>
      <c r="G32">
        <v>-29</v>
      </c>
      <c r="H32">
        <v>0</v>
      </c>
      <c r="I32" s="23">
        <v>3750</v>
      </c>
      <c r="J32" s="23">
        <v>3355</v>
      </c>
      <c r="K32" s="23">
        <v>3812</v>
      </c>
      <c r="L32" s="23">
        <v>-1136</v>
      </c>
    </row>
    <row r="33" spans="2:12" x14ac:dyDescent="0.3">
      <c r="B33" t="s">
        <v>20</v>
      </c>
      <c r="C33" s="23">
        <v>-2589</v>
      </c>
      <c r="D33" s="23">
        <v>-3167</v>
      </c>
      <c r="E33">
        <v>730</v>
      </c>
      <c r="F33" s="23">
        <v>6843</v>
      </c>
      <c r="G33" s="23">
        <v>-3092</v>
      </c>
      <c r="H33" s="23">
        <v>13232</v>
      </c>
      <c r="I33" s="23">
        <v>6459</v>
      </c>
      <c r="J33" s="23">
        <v>-6272</v>
      </c>
      <c r="K33" s="23">
        <v>8128</v>
      </c>
      <c r="L33" s="23">
        <v>-5666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66898-6DBC-4C96-A8C3-ADC5981FA43A}">
  <sheetPr>
    <tabColor theme="7" tint="-0.499984740745262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BB05B-D870-489F-87AE-06E5081AA1FA}">
  <sheetPr>
    <tabColor theme="7" tint="-0.499984740745262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-0.499984740745262"/>
  </sheetPr>
  <dimension ref="A1:K93"/>
  <sheetViews>
    <sheetView topLeftCell="A54" zoomScale="92" zoomScaleNormal="120" zoomScalePageLayoutView="120" workbookViewId="0">
      <selection activeCell="A57" sqref="A57"/>
    </sheetView>
  </sheetViews>
  <sheetFormatPr defaultColWidth="8.77734375" defaultRowHeight="14.4" x14ac:dyDescent="0.3"/>
  <cols>
    <col min="1" max="1" width="27.6640625" style="2" bestFit="1" customWidth="1"/>
    <col min="2" max="11" width="13.44140625" style="2" bestFit="1" customWidth="1"/>
    <col min="12" max="16384" width="8.77734375" style="2"/>
  </cols>
  <sheetData>
    <row r="1" spans="1:11" s="1" customFormat="1" x14ac:dyDescent="0.3">
      <c r="A1" s="1" t="s">
        <v>0</v>
      </c>
      <c r="B1" s="1" t="s">
        <v>32</v>
      </c>
      <c r="E1" s="33" t="str">
        <f>IF(B2&lt;&gt;B3, "A NEW VERSION OF THE WORKSHEET IS AVAILABLE", "")</f>
        <v/>
      </c>
      <c r="F1" s="33"/>
      <c r="G1" s="33"/>
      <c r="H1" s="33"/>
      <c r="I1" s="33"/>
      <c r="J1" s="33"/>
      <c r="K1" s="33"/>
    </row>
    <row r="2" spans="1:11" x14ac:dyDescent="0.3">
      <c r="A2" s="1" t="s">
        <v>30</v>
      </c>
      <c r="B2" s="2">
        <v>2.1</v>
      </c>
      <c r="E2" s="34" t="s">
        <v>21</v>
      </c>
      <c r="F2" s="34"/>
      <c r="G2" s="34"/>
      <c r="H2" s="34"/>
      <c r="I2" s="34"/>
      <c r="J2" s="34"/>
      <c r="K2" s="34"/>
    </row>
    <row r="3" spans="1:11" x14ac:dyDescent="0.3">
      <c r="A3" s="1" t="s">
        <v>31</v>
      </c>
      <c r="B3" s="2">
        <v>2.1</v>
      </c>
    </row>
    <row r="4" spans="1:11" x14ac:dyDescent="0.3">
      <c r="A4" s="1"/>
    </row>
    <row r="5" spans="1:11" x14ac:dyDescent="0.3">
      <c r="A5" s="1" t="s">
        <v>33</v>
      </c>
    </row>
    <row r="6" spans="1:11" x14ac:dyDescent="0.3">
      <c r="A6" s="2" t="s">
        <v>27</v>
      </c>
      <c r="B6" s="2">
        <f>IF(B9&gt;0, B9/B8, 0)</f>
        <v>368.09860157016681</v>
      </c>
    </row>
    <row r="7" spans="1:11" x14ac:dyDescent="0.3">
      <c r="A7" s="2" t="s">
        <v>16</v>
      </c>
      <c r="B7">
        <v>2</v>
      </c>
    </row>
    <row r="8" spans="1:11" x14ac:dyDescent="0.3">
      <c r="A8" s="2" t="s">
        <v>28</v>
      </c>
      <c r="B8">
        <v>407.6</v>
      </c>
    </row>
    <row r="9" spans="1:11" x14ac:dyDescent="0.3">
      <c r="A9" s="2" t="s">
        <v>43</v>
      </c>
      <c r="B9">
        <v>150036.99</v>
      </c>
    </row>
    <row r="15" spans="1:11" x14ac:dyDescent="0.3">
      <c r="A15" s="1" t="s">
        <v>22</v>
      </c>
    </row>
    <row r="16" spans="1:11" s="6" customFormat="1" x14ac:dyDescent="0.3">
      <c r="A16" s="5" t="s">
        <v>23</v>
      </c>
      <c r="B16" s="4">
        <v>42460</v>
      </c>
      <c r="C16" s="4">
        <v>42825</v>
      </c>
      <c r="D16" s="4">
        <v>43190</v>
      </c>
      <c r="E16" s="4">
        <v>43555</v>
      </c>
      <c r="F16" s="4">
        <v>43921</v>
      </c>
      <c r="G16" s="4">
        <v>44286</v>
      </c>
      <c r="H16" s="4">
        <v>44651</v>
      </c>
      <c r="I16" s="4">
        <v>45016</v>
      </c>
      <c r="J16" s="4">
        <v>45382</v>
      </c>
      <c r="K16" s="4">
        <v>45747</v>
      </c>
    </row>
    <row r="17" spans="1:11" s="3" customFormat="1" x14ac:dyDescent="0.3">
      <c r="A17" s="3" t="s">
        <v>1</v>
      </c>
      <c r="B17">
        <v>273045.59999999998</v>
      </c>
      <c r="C17">
        <v>269692.51</v>
      </c>
      <c r="D17">
        <v>291550.48</v>
      </c>
      <c r="E17">
        <v>301938.40000000002</v>
      </c>
      <c r="F17">
        <v>261067.97</v>
      </c>
      <c r="G17">
        <v>249794.75</v>
      </c>
      <c r="H17">
        <v>278453.62</v>
      </c>
      <c r="I17">
        <v>345966.97</v>
      </c>
      <c r="J17">
        <v>434016</v>
      </c>
      <c r="K17">
        <v>439695</v>
      </c>
    </row>
    <row r="18" spans="1:11" s="3" customFormat="1" x14ac:dyDescent="0.3">
      <c r="A18" s="2" t="s">
        <v>44</v>
      </c>
      <c r="B18">
        <v>166134.01</v>
      </c>
      <c r="C18">
        <v>173294.07999999999</v>
      </c>
      <c r="D18">
        <v>187896.58</v>
      </c>
      <c r="E18">
        <v>194267.91</v>
      </c>
      <c r="F18">
        <v>164899.82</v>
      </c>
      <c r="G18">
        <v>153607.35999999999</v>
      </c>
      <c r="H18">
        <v>179295.33</v>
      </c>
      <c r="I18">
        <v>231251.26</v>
      </c>
      <c r="J18">
        <v>274321</v>
      </c>
      <c r="K18">
        <v>268950</v>
      </c>
    </row>
    <row r="19" spans="1:11" s="3" customFormat="1" x14ac:dyDescent="0.3">
      <c r="A19" s="2" t="s">
        <v>45</v>
      </c>
      <c r="B19">
        <v>2750.99</v>
      </c>
      <c r="C19">
        <v>7399.92</v>
      </c>
      <c r="D19">
        <v>2046.58</v>
      </c>
      <c r="E19">
        <v>-2053.2800000000002</v>
      </c>
      <c r="F19">
        <v>-2231.19</v>
      </c>
      <c r="G19">
        <v>-4684.16</v>
      </c>
      <c r="H19">
        <v>-1590.49</v>
      </c>
      <c r="I19">
        <v>4781.62</v>
      </c>
      <c r="J19">
        <v>1566</v>
      </c>
      <c r="K19">
        <v>-2836</v>
      </c>
    </row>
    <row r="20" spans="1:11" s="3" customFormat="1" x14ac:dyDescent="0.3">
      <c r="A20" s="2" t="s">
        <v>46</v>
      </c>
      <c r="B20">
        <v>1143.6300000000001</v>
      </c>
      <c r="C20">
        <v>1159.82</v>
      </c>
      <c r="D20">
        <v>1308.08</v>
      </c>
      <c r="E20">
        <v>1585.93</v>
      </c>
      <c r="F20">
        <v>1264.95</v>
      </c>
      <c r="G20">
        <v>1112.8699999999999</v>
      </c>
      <c r="H20">
        <v>2178.29</v>
      </c>
      <c r="I20">
        <v>2513.33</v>
      </c>
      <c r="J20">
        <v>2189</v>
      </c>
      <c r="K20">
        <v>2443</v>
      </c>
    </row>
    <row r="21" spans="1:11" s="3" customFormat="1" x14ac:dyDescent="0.3">
      <c r="A21" s="2" t="s">
        <v>47</v>
      </c>
      <c r="B21">
        <v>12101.53</v>
      </c>
      <c r="C21">
        <v>10067.370000000001</v>
      </c>
      <c r="D21">
        <v>10971.66</v>
      </c>
      <c r="E21">
        <v>11694.54</v>
      </c>
      <c r="F21">
        <v>11541.51</v>
      </c>
      <c r="G21">
        <v>8273.17</v>
      </c>
      <c r="H21">
        <v>9427.3799999999992</v>
      </c>
      <c r="I21">
        <v>11765.97</v>
      </c>
      <c r="J21">
        <v>17446</v>
      </c>
      <c r="K21">
        <v>18813</v>
      </c>
    </row>
    <row r="22" spans="1:11" s="3" customFormat="1" x14ac:dyDescent="0.3">
      <c r="A22" s="2" t="s">
        <v>48</v>
      </c>
      <c r="B22">
        <v>28880.89</v>
      </c>
      <c r="C22">
        <v>28332.89</v>
      </c>
      <c r="D22">
        <v>30300.09</v>
      </c>
      <c r="E22">
        <v>33243.870000000003</v>
      </c>
      <c r="F22">
        <v>30438.6</v>
      </c>
      <c r="G22">
        <v>27648.48</v>
      </c>
      <c r="H22">
        <v>30808.52</v>
      </c>
      <c r="I22">
        <v>33654.699999999997</v>
      </c>
      <c r="J22">
        <v>41990</v>
      </c>
      <c r="K22">
        <v>47767</v>
      </c>
    </row>
    <row r="23" spans="1:11" s="3" customFormat="1" x14ac:dyDescent="0.3">
      <c r="A23" s="2" t="s">
        <v>49</v>
      </c>
      <c r="B23">
        <v>21991.9</v>
      </c>
      <c r="C23">
        <v>30039.38</v>
      </c>
      <c r="D23">
        <v>31004.58</v>
      </c>
      <c r="E23">
        <v>32719.8</v>
      </c>
      <c r="F23">
        <v>29248.32</v>
      </c>
      <c r="G23">
        <v>23015.79</v>
      </c>
      <c r="H23">
        <v>29205.4</v>
      </c>
      <c r="I23">
        <v>34839.19</v>
      </c>
      <c r="J23">
        <v>42765</v>
      </c>
      <c r="K23">
        <v>47099</v>
      </c>
    </row>
    <row r="24" spans="1:11" s="3" customFormat="1" x14ac:dyDescent="0.3">
      <c r="A24" s="2" t="s">
        <v>50</v>
      </c>
      <c r="B24">
        <v>7149.38</v>
      </c>
      <c r="C24">
        <v>4610.2</v>
      </c>
      <c r="D24">
        <v>658.39</v>
      </c>
      <c r="E24">
        <v>1708.74</v>
      </c>
      <c r="F24">
        <v>3456.51</v>
      </c>
      <c r="G24">
        <v>-834.51</v>
      </c>
      <c r="H24">
        <v>1228.1199999999999</v>
      </c>
      <c r="I24">
        <v>4908.34</v>
      </c>
      <c r="J24">
        <v>-953</v>
      </c>
      <c r="K24">
        <v>-3429</v>
      </c>
    </row>
    <row r="25" spans="1:11" s="3" customFormat="1" x14ac:dyDescent="0.3">
      <c r="A25" s="3" t="s">
        <v>4</v>
      </c>
      <c r="B25">
        <v>-2669.62</v>
      </c>
      <c r="C25">
        <v>1869.1</v>
      </c>
      <c r="D25">
        <v>5932.73</v>
      </c>
      <c r="E25">
        <v>-26686.25</v>
      </c>
      <c r="F25">
        <v>101.71</v>
      </c>
      <c r="G25">
        <v>-11117.83</v>
      </c>
      <c r="H25">
        <v>2424.0500000000002</v>
      </c>
      <c r="I25">
        <v>6663.97</v>
      </c>
      <c r="J25">
        <v>4792</v>
      </c>
      <c r="K25">
        <v>11774</v>
      </c>
    </row>
    <row r="26" spans="1:11" s="3" customFormat="1" x14ac:dyDescent="0.3">
      <c r="A26" s="3" t="s">
        <v>5</v>
      </c>
      <c r="B26">
        <v>16710.78</v>
      </c>
      <c r="C26">
        <v>17904.990000000002</v>
      </c>
      <c r="D26">
        <v>21553.59</v>
      </c>
      <c r="E26">
        <v>23590.63</v>
      </c>
      <c r="F26">
        <v>21425.43</v>
      </c>
      <c r="G26">
        <v>23546.71</v>
      </c>
      <c r="H26">
        <v>24835.69</v>
      </c>
      <c r="I26">
        <v>24860.36</v>
      </c>
      <c r="J26">
        <v>27239</v>
      </c>
      <c r="K26">
        <v>23256</v>
      </c>
    </row>
    <row r="27" spans="1:11" s="3" customFormat="1" x14ac:dyDescent="0.3">
      <c r="A27" s="3" t="s">
        <v>6</v>
      </c>
      <c r="B27">
        <v>4889.08</v>
      </c>
      <c r="C27">
        <v>4238.01</v>
      </c>
      <c r="D27">
        <v>4681.79</v>
      </c>
      <c r="E27">
        <v>5758.6</v>
      </c>
      <c r="F27">
        <v>7243.33</v>
      </c>
      <c r="G27">
        <v>8097.17</v>
      </c>
      <c r="H27">
        <v>9311.86</v>
      </c>
      <c r="I27">
        <v>10225.48</v>
      </c>
      <c r="J27">
        <v>7594</v>
      </c>
      <c r="K27">
        <v>5083</v>
      </c>
    </row>
    <row r="28" spans="1:11" s="3" customFormat="1" x14ac:dyDescent="0.3">
      <c r="A28" s="3" t="s">
        <v>7</v>
      </c>
      <c r="B28">
        <v>14125.77</v>
      </c>
      <c r="C28">
        <v>9314.7900000000009</v>
      </c>
      <c r="D28">
        <v>11155.03</v>
      </c>
      <c r="E28">
        <v>-31371.15</v>
      </c>
      <c r="F28">
        <v>-10579.98</v>
      </c>
      <c r="G28">
        <v>-10474.280000000001</v>
      </c>
      <c r="H28">
        <v>-7003.41</v>
      </c>
      <c r="I28">
        <v>3393.93</v>
      </c>
      <c r="J28">
        <v>27783</v>
      </c>
      <c r="K28">
        <v>38651</v>
      </c>
    </row>
    <row r="29" spans="1:11" s="3" customFormat="1" x14ac:dyDescent="0.3">
      <c r="A29" s="3" t="s">
        <v>8</v>
      </c>
      <c r="B29">
        <v>3025.05</v>
      </c>
      <c r="C29">
        <v>3251.23</v>
      </c>
      <c r="D29">
        <v>4341.93</v>
      </c>
      <c r="E29">
        <v>-2437.4499999999998</v>
      </c>
      <c r="F29">
        <v>395.25</v>
      </c>
      <c r="G29">
        <v>2541.86</v>
      </c>
      <c r="H29">
        <v>4231.29</v>
      </c>
      <c r="I29">
        <v>704.06</v>
      </c>
      <c r="J29">
        <v>-4024</v>
      </c>
      <c r="K29">
        <v>10502</v>
      </c>
    </row>
    <row r="30" spans="1:11" s="3" customFormat="1" x14ac:dyDescent="0.3">
      <c r="A30" s="3" t="s">
        <v>9</v>
      </c>
      <c r="B30">
        <v>11579.31</v>
      </c>
      <c r="C30">
        <v>7454.36</v>
      </c>
      <c r="D30">
        <v>8988.91</v>
      </c>
      <c r="E30">
        <v>-28826.23</v>
      </c>
      <c r="F30">
        <v>-12070.85</v>
      </c>
      <c r="G30">
        <v>-13451.39</v>
      </c>
      <c r="H30">
        <v>-11441.47</v>
      </c>
      <c r="I30">
        <v>2414.29</v>
      </c>
      <c r="J30">
        <v>31399</v>
      </c>
      <c r="K30">
        <v>27830</v>
      </c>
    </row>
    <row r="31" spans="1:11" s="3" customFormat="1" x14ac:dyDescent="0.3">
      <c r="A31" s="3" t="s">
        <v>34</v>
      </c>
      <c r="B31">
        <v>67.92</v>
      </c>
      <c r="I31">
        <v>766.02</v>
      </c>
      <c r="J31">
        <v>2301</v>
      </c>
      <c r="K31">
        <v>2208</v>
      </c>
    </row>
    <row r="32" spans="1:11" s="3" customFormat="1" x14ac:dyDescent="0.3"/>
    <row r="33" spans="1:11" x14ac:dyDescent="0.3">
      <c r="A33" s="3"/>
    </row>
    <row r="34" spans="1:11" x14ac:dyDescent="0.3">
      <c r="A34" s="3"/>
    </row>
    <row r="35" spans="1:11" x14ac:dyDescent="0.3">
      <c r="A35" s="3"/>
    </row>
    <row r="36" spans="1:11" x14ac:dyDescent="0.3">
      <c r="A36" s="3"/>
    </row>
    <row r="37" spans="1:11" x14ac:dyDescent="0.3">
      <c r="A37" s="3"/>
    </row>
    <row r="38" spans="1:11" x14ac:dyDescent="0.3">
      <c r="A38" s="3"/>
    </row>
    <row r="39" spans="1:11" x14ac:dyDescent="0.3">
      <c r="A39" s="3"/>
    </row>
    <row r="40" spans="1:11" x14ac:dyDescent="0.3">
      <c r="A40" s="1" t="s">
        <v>24</v>
      </c>
    </row>
    <row r="41" spans="1:11" s="6" customFormat="1" x14ac:dyDescent="0.3">
      <c r="A41" s="5" t="s">
        <v>23</v>
      </c>
      <c r="B41" s="4">
        <v>45016</v>
      </c>
      <c r="C41" s="4">
        <v>45107</v>
      </c>
      <c r="D41" s="4">
        <v>45199</v>
      </c>
      <c r="E41" s="4">
        <v>45291</v>
      </c>
      <c r="F41" s="4">
        <v>45382</v>
      </c>
      <c r="G41" s="4">
        <v>45473</v>
      </c>
      <c r="H41" s="4">
        <v>45565</v>
      </c>
      <c r="I41" s="4">
        <v>45657</v>
      </c>
      <c r="J41" s="4">
        <v>45747</v>
      </c>
      <c r="K41" s="4">
        <v>45838</v>
      </c>
    </row>
    <row r="42" spans="1:11" s="3" customFormat="1" x14ac:dyDescent="0.3">
      <c r="A42" s="3" t="s">
        <v>1</v>
      </c>
      <c r="B42">
        <v>105932.35</v>
      </c>
      <c r="C42">
        <v>102236</v>
      </c>
      <c r="D42">
        <v>105129</v>
      </c>
      <c r="E42">
        <v>110577</v>
      </c>
      <c r="F42">
        <v>119033</v>
      </c>
      <c r="G42">
        <v>107102</v>
      </c>
      <c r="H42">
        <v>101450</v>
      </c>
      <c r="I42">
        <v>112608</v>
      </c>
      <c r="J42">
        <v>119503</v>
      </c>
      <c r="K42">
        <v>104407</v>
      </c>
    </row>
    <row r="43" spans="1:11" s="3" customFormat="1" x14ac:dyDescent="0.3">
      <c r="A43" s="3" t="s">
        <v>2</v>
      </c>
      <c r="B43">
        <v>92817.95</v>
      </c>
      <c r="C43">
        <v>89019</v>
      </c>
      <c r="D43">
        <v>91362</v>
      </c>
      <c r="E43">
        <v>95159</v>
      </c>
      <c r="F43">
        <v>102348</v>
      </c>
      <c r="G43">
        <v>91854</v>
      </c>
      <c r="H43">
        <v>89291</v>
      </c>
      <c r="I43">
        <v>100185</v>
      </c>
      <c r="J43">
        <v>102685</v>
      </c>
      <c r="K43">
        <v>94183</v>
      </c>
    </row>
    <row r="44" spans="1:11" s="3" customFormat="1" x14ac:dyDescent="0.3">
      <c r="A44" s="3" t="s">
        <v>4</v>
      </c>
      <c r="B44">
        <v>1452.86</v>
      </c>
      <c r="C44">
        <v>895</v>
      </c>
      <c r="D44">
        <v>1557</v>
      </c>
      <c r="E44">
        <v>1604</v>
      </c>
      <c r="F44">
        <v>1412</v>
      </c>
      <c r="G44">
        <v>6553</v>
      </c>
      <c r="H44">
        <v>1647</v>
      </c>
      <c r="I44">
        <v>1700</v>
      </c>
      <c r="J44">
        <v>1057</v>
      </c>
      <c r="K44">
        <v>1595</v>
      </c>
    </row>
    <row r="45" spans="1:11" s="3" customFormat="1" x14ac:dyDescent="0.3">
      <c r="A45" s="3" t="s">
        <v>5</v>
      </c>
      <c r="B45">
        <v>7050.2</v>
      </c>
      <c r="C45">
        <v>6633</v>
      </c>
      <c r="D45">
        <v>6637</v>
      </c>
      <c r="E45">
        <v>6850</v>
      </c>
      <c r="F45">
        <v>7143</v>
      </c>
      <c r="G45">
        <v>6565</v>
      </c>
      <c r="H45">
        <v>6005</v>
      </c>
      <c r="I45">
        <v>5399</v>
      </c>
      <c r="J45">
        <v>5295</v>
      </c>
      <c r="K45">
        <v>5320</v>
      </c>
    </row>
    <row r="46" spans="1:11" s="3" customFormat="1" x14ac:dyDescent="0.3">
      <c r="A46" s="3" t="s">
        <v>6</v>
      </c>
      <c r="B46">
        <v>2641.67</v>
      </c>
      <c r="C46">
        <v>2615</v>
      </c>
      <c r="D46">
        <v>2652</v>
      </c>
      <c r="E46">
        <v>2485</v>
      </c>
      <c r="F46">
        <v>1645</v>
      </c>
      <c r="G46">
        <v>1471</v>
      </c>
      <c r="H46">
        <v>2034</v>
      </c>
      <c r="I46">
        <v>1119</v>
      </c>
      <c r="J46">
        <v>1076</v>
      </c>
      <c r="K46">
        <v>938</v>
      </c>
    </row>
    <row r="47" spans="1:11" s="3" customFormat="1" x14ac:dyDescent="0.3">
      <c r="A47" s="3" t="s">
        <v>7</v>
      </c>
      <c r="B47">
        <v>4875.3900000000003</v>
      </c>
      <c r="C47">
        <v>4864</v>
      </c>
      <c r="D47">
        <v>6035</v>
      </c>
      <c r="E47">
        <v>7687</v>
      </c>
      <c r="F47">
        <v>9309</v>
      </c>
      <c r="G47">
        <v>13765</v>
      </c>
      <c r="H47">
        <v>5767</v>
      </c>
      <c r="I47">
        <v>7605</v>
      </c>
      <c r="J47">
        <v>11504</v>
      </c>
      <c r="K47">
        <v>5561</v>
      </c>
    </row>
    <row r="48" spans="1:11" s="3" customFormat="1" x14ac:dyDescent="0.3">
      <c r="A48" s="3" t="s">
        <v>8</v>
      </c>
      <c r="B48">
        <v>-620.65</v>
      </c>
      <c r="C48">
        <v>1563</v>
      </c>
      <c r="D48">
        <v>2203</v>
      </c>
      <c r="E48">
        <v>542</v>
      </c>
      <c r="F48">
        <v>-8219</v>
      </c>
      <c r="G48">
        <v>3178</v>
      </c>
      <c r="H48">
        <v>2317</v>
      </c>
      <c r="I48">
        <v>2120</v>
      </c>
      <c r="J48">
        <v>2948</v>
      </c>
      <c r="K48">
        <v>1558</v>
      </c>
    </row>
    <row r="49" spans="1:11" s="3" customFormat="1" x14ac:dyDescent="0.3">
      <c r="A49" s="3" t="s">
        <v>9</v>
      </c>
      <c r="B49">
        <v>5407.79</v>
      </c>
      <c r="C49">
        <v>3203</v>
      </c>
      <c r="D49">
        <v>3764</v>
      </c>
      <c r="E49">
        <v>7025</v>
      </c>
      <c r="F49">
        <v>17407</v>
      </c>
      <c r="G49">
        <v>10514</v>
      </c>
      <c r="H49">
        <v>3343</v>
      </c>
      <c r="I49">
        <v>5406</v>
      </c>
      <c r="J49">
        <v>8470</v>
      </c>
      <c r="K49">
        <v>3924</v>
      </c>
    </row>
    <row r="50" spans="1:11" x14ac:dyDescent="0.3">
      <c r="A50" s="3" t="s">
        <v>3</v>
      </c>
      <c r="B50">
        <v>13114.4</v>
      </c>
      <c r="C50">
        <v>13217</v>
      </c>
      <c r="D50">
        <v>13767</v>
      </c>
      <c r="E50">
        <v>15418</v>
      </c>
      <c r="F50">
        <v>16685</v>
      </c>
      <c r="G50">
        <v>15248</v>
      </c>
      <c r="H50">
        <v>12159</v>
      </c>
      <c r="I50">
        <v>12423</v>
      </c>
      <c r="J50">
        <v>16818</v>
      </c>
      <c r="K50">
        <v>10224</v>
      </c>
    </row>
    <row r="51" spans="1:11" x14ac:dyDescent="0.3">
      <c r="A51" s="3"/>
    </row>
    <row r="52" spans="1:11" x14ac:dyDescent="0.3">
      <c r="A52" s="3"/>
    </row>
    <row r="53" spans="1:11" x14ac:dyDescent="0.3">
      <c r="A53" s="3"/>
    </row>
    <row r="54" spans="1:11" x14ac:dyDescent="0.3">
      <c r="A54" s="3"/>
    </row>
    <row r="55" spans="1:11" x14ac:dyDescent="0.3">
      <c r="A55" s="1" t="s">
        <v>25</v>
      </c>
    </row>
    <row r="56" spans="1:11" s="6" customFormat="1" x14ac:dyDescent="0.3">
      <c r="A56" s="5" t="s">
        <v>23</v>
      </c>
      <c r="B56" s="4">
        <v>42460</v>
      </c>
      <c r="C56" s="4">
        <v>42825</v>
      </c>
      <c r="D56" s="4">
        <v>43190</v>
      </c>
      <c r="E56" s="4">
        <v>43555</v>
      </c>
      <c r="F56" s="4">
        <v>43921</v>
      </c>
      <c r="G56" s="4">
        <v>44286</v>
      </c>
      <c r="H56" s="4">
        <v>44651</v>
      </c>
      <c r="I56" s="4">
        <v>45016</v>
      </c>
      <c r="J56" s="4">
        <v>45382</v>
      </c>
      <c r="K56" s="4">
        <v>45747</v>
      </c>
    </row>
    <row r="57" spans="1:11" x14ac:dyDescent="0.3">
      <c r="A57" s="3" t="s">
        <v>10</v>
      </c>
      <c r="B57">
        <v>679.18</v>
      </c>
      <c r="C57">
        <v>679.22</v>
      </c>
      <c r="D57">
        <v>679.22</v>
      </c>
      <c r="E57">
        <v>679.22</v>
      </c>
      <c r="F57">
        <v>719.54</v>
      </c>
      <c r="G57">
        <v>765.81</v>
      </c>
      <c r="H57">
        <v>765.88</v>
      </c>
      <c r="I57">
        <v>766.02</v>
      </c>
      <c r="J57">
        <v>767</v>
      </c>
      <c r="K57">
        <v>736</v>
      </c>
    </row>
    <row r="58" spans="1:11" x14ac:dyDescent="0.3">
      <c r="A58" s="3" t="s">
        <v>11</v>
      </c>
      <c r="B58">
        <v>78273.23</v>
      </c>
      <c r="C58">
        <v>57382.67</v>
      </c>
      <c r="D58">
        <v>94748.69</v>
      </c>
      <c r="E58">
        <v>59500.34</v>
      </c>
      <c r="F58">
        <v>62358.99</v>
      </c>
      <c r="G58">
        <v>54480.91</v>
      </c>
      <c r="H58">
        <v>43795.360000000001</v>
      </c>
      <c r="I58">
        <v>44555.77</v>
      </c>
      <c r="J58">
        <v>84151</v>
      </c>
      <c r="K58">
        <v>115408</v>
      </c>
    </row>
    <row r="59" spans="1:11" x14ac:dyDescent="0.3">
      <c r="A59" s="3" t="s">
        <v>35</v>
      </c>
      <c r="B59">
        <v>69359.960000000006</v>
      </c>
      <c r="C59">
        <v>78603.98</v>
      </c>
      <c r="D59">
        <v>88950.47</v>
      </c>
      <c r="E59">
        <v>106175.34</v>
      </c>
      <c r="F59">
        <v>124787.64</v>
      </c>
      <c r="G59">
        <v>142130.57</v>
      </c>
      <c r="H59">
        <v>146449.03</v>
      </c>
      <c r="I59">
        <v>134113.44</v>
      </c>
      <c r="J59">
        <v>107264</v>
      </c>
      <c r="K59">
        <v>71540</v>
      </c>
    </row>
    <row r="60" spans="1:11" x14ac:dyDescent="0.3">
      <c r="A60" s="3" t="s">
        <v>36</v>
      </c>
      <c r="B60">
        <v>114871.75</v>
      </c>
      <c r="C60">
        <v>135914.49</v>
      </c>
      <c r="D60">
        <v>142813.43</v>
      </c>
      <c r="E60">
        <v>139348.59</v>
      </c>
      <c r="F60">
        <v>132313.22</v>
      </c>
      <c r="G60">
        <v>144192.62</v>
      </c>
      <c r="H60">
        <v>138051.22</v>
      </c>
      <c r="I60">
        <v>155239.20000000001</v>
      </c>
      <c r="J60">
        <v>177339</v>
      </c>
      <c r="K60">
        <v>189289</v>
      </c>
    </row>
    <row r="61" spans="1:11" s="1" customFormat="1" x14ac:dyDescent="0.3">
      <c r="A61" s="1" t="s">
        <v>12</v>
      </c>
      <c r="B61">
        <v>263184.12</v>
      </c>
      <c r="C61">
        <v>272580.36</v>
      </c>
      <c r="D61">
        <v>327191.81</v>
      </c>
      <c r="E61">
        <v>305703.49</v>
      </c>
      <c r="F61">
        <v>320179.39</v>
      </c>
      <c r="G61">
        <v>341569.91</v>
      </c>
      <c r="H61">
        <v>329061.49</v>
      </c>
      <c r="I61">
        <v>334674.43</v>
      </c>
      <c r="J61">
        <v>369521</v>
      </c>
      <c r="K61">
        <v>376973</v>
      </c>
    </row>
    <row r="62" spans="1:11" x14ac:dyDescent="0.3">
      <c r="A62" s="3" t="s">
        <v>13</v>
      </c>
      <c r="B62">
        <v>107231.76</v>
      </c>
      <c r="C62">
        <v>95944.08</v>
      </c>
      <c r="D62">
        <v>121413.86</v>
      </c>
      <c r="E62">
        <v>111234.47</v>
      </c>
      <c r="F62">
        <v>127107.14</v>
      </c>
      <c r="G62">
        <v>138707.60999999999</v>
      </c>
      <c r="H62">
        <v>138855.45000000001</v>
      </c>
      <c r="I62">
        <v>132079.76</v>
      </c>
      <c r="J62">
        <v>121285</v>
      </c>
      <c r="K62">
        <v>115697</v>
      </c>
    </row>
    <row r="63" spans="1:11" x14ac:dyDescent="0.3">
      <c r="A63" s="3" t="s">
        <v>14</v>
      </c>
      <c r="B63">
        <v>25918.94</v>
      </c>
      <c r="C63">
        <v>33698.839999999997</v>
      </c>
      <c r="D63">
        <v>40033.5</v>
      </c>
      <c r="E63">
        <v>31883.84</v>
      </c>
      <c r="F63">
        <v>35622.29</v>
      </c>
      <c r="G63">
        <v>20963.93</v>
      </c>
      <c r="H63">
        <v>10251.09</v>
      </c>
      <c r="I63">
        <v>14274.5</v>
      </c>
      <c r="J63">
        <v>35698</v>
      </c>
      <c r="K63">
        <v>65806</v>
      </c>
    </row>
    <row r="64" spans="1:11" x14ac:dyDescent="0.3">
      <c r="A64" s="3" t="s">
        <v>15</v>
      </c>
      <c r="B64">
        <v>23767.02</v>
      </c>
      <c r="C64">
        <v>20337.919999999998</v>
      </c>
      <c r="D64">
        <v>20812.75</v>
      </c>
      <c r="E64">
        <v>15770.72</v>
      </c>
      <c r="F64">
        <v>16308.48</v>
      </c>
      <c r="G64">
        <v>24620.28</v>
      </c>
      <c r="H64">
        <v>29379.53</v>
      </c>
      <c r="I64">
        <v>26379.16</v>
      </c>
      <c r="J64">
        <v>22971</v>
      </c>
      <c r="K64">
        <v>35656</v>
      </c>
    </row>
    <row r="65" spans="1:11" x14ac:dyDescent="0.3">
      <c r="A65" s="3" t="s">
        <v>37</v>
      </c>
      <c r="B65">
        <v>106266.4</v>
      </c>
      <c r="C65">
        <v>122599.52</v>
      </c>
      <c r="D65">
        <v>144931.70000000001</v>
      </c>
      <c r="E65">
        <v>146814.46</v>
      </c>
      <c r="F65">
        <v>141141.48000000001</v>
      </c>
      <c r="G65">
        <v>157278.09</v>
      </c>
      <c r="H65">
        <v>150575.42000000001</v>
      </c>
      <c r="I65">
        <v>161941.01</v>
      </c>
      <c r="J65">
        <v>189567</v>
      </c>
      <c r="K65">
        <v>159814</v>
      </c>
    </row>
    <row r="66" spans="1:11" s="1" customFormat="1" x14ac:dyDescent="0.3">
      <c r="A66" s="1" t="s">
        <v>12</v>
      </c>
      <c r="B66">
        <v>263184.12</v>
      </c>
      <c r="C66">
        <v>272580.36</v>
      </c>
      <c r="D66">
        <v>327191.81</v>
      </c>
      <c r="E66">
        <v>305703.49</v>
      </c>
      <c r="F66">
        <v>320179.39</v>
      </c>
      <c r="G66">
        <v>341569.91</v>
      </c>
      <c r="H66">
        <v>329061.49</v>
      </c>
      <c r="I66">
        <v>334674.43</v>
      </c>
      <c r="J66">
        <v>369521</v>
      </c>
      <c r="K66">
        <v>376973</v>
      </c>
    </row>
    <row r="67" spans="1:11" s="3" customFormat="1" x14ac:dyDescent="0.3">
      <c r="A67" s="3" t="s">
        <v>42</v>
      </c>
      <c r="B67">
        <v>13570.91</v>
      </c>
      <c r="C67">
        <v>14075.55</v>
      </c>
      <c r="D67">
        <v>19893.3</v>
      </c>
      <c r="E67">
        <v>18996.169999999998</v>
      </c>
      <c r="F67">
        <v>11172.69</v>
      </c>
      <c r="G67">
        <v>12679.08</v>
      </c>
      <c r="H67">
        <v>12442.12</v>
      </c>
      <c r="I67">
        <v>15737.97</v>
      </c>
      <c r="J67">
        <v>16952</v>
      </c>
      <c r="K67">
        <v>13248</v>
      </c>
    </row>
    <row r="68" spans="1:11" x14ac:dyDescent="0.3">
      <c r="A68" s="3" t="s">
        <v>29</v>
      </c>
      <c r="B68">
        <v>32655.73</v>
      </c>
      <c r="C68">
        <v>35085.31</v>
      </c>
      <c r="D68">
        <v>42137.63</v>
      </c>
      <c r="E68">
        <v>39013.730000000003</v>
      </c>
      <c r="F68">
        <v>37456.879999999997</v>
      </c>
      <c r="G68">
        <v>36088.589999999997</v>
      </c>
      <c r="H68">
        <v>35240.339999999997</v>
      </c>
      <c r="I68">
        <v>40755.39</v>
      </c>
      <c r="J68">
        <v>47788</v>
      </c>
      <c r="K68">
        <v>47269</v>
      </c>
    </row>
    <row r="69" spans="1:11" x14ac:dyDescent="0.3">
      <c r="A69" s="2" t="s">
        <v>51</v>
      </c>
      <c r="B69">
        <v>30460.400000000001</v>
      </c>
      <c r="C69">
        <v>36077.879999999997</v>
      </c>
      <c r="D69">
        <v>34613.910000000003</v>
      </c>
      <c r="E69">
        <v>32648.82</v>
      </c>
      <c r="F69">
        <v>33726.97</v>
      </c>
      <c r="G69">
        <v>46792.46</v>
      </c>
      <c r="H69">
        <v>40669.19</v>
      </c>
      <c r="I69">
        <v>37015.56</v>
      </c>
      <c r="J69">
        <v>45807</v>
      </c>
      <c r="K69">
        <v>40834</v>
      </c>
    </row>
    <row r="70" spans="1:11" x14ac:dyDescent="0.3">
      <c r="A70" s="2" t="s">
        <v>38</v>
      </c>
      <c r="B70">
        <v>3395930306</v>
      </c>
      <c r="C70">
        <v>3396100719</v>
      </c>
      <c r="D70">
        <v>3396100719</v>
      </c>
      <c r="E70">
        <v>3396100719</v>
      </c>
      <c r="F70">
        <v>3597726185</v>
      </c>
      <c r="G70">
        <v>3829060661</v>
      </c>
      <c r="H70">
        <v>3829414903</v>
      </c>
      <c r="I70">
        <v>3830097221</v>
      </c>
      <c r="J70">
        <v>3832491897</v>
      </c>
      <c r="K70">
        <v>3681348742</v>
      </c>
    </row>
    <row r="71" spans="1:11" x14ac:dyDescent="0.3">
      <c r="A71" s="2" t="s">
        <v>39</v>
      </c>
    </row>
    <row r="72" spans="1:11" x14ac:dyDescent="0.3">
      <c r="A72" s="2" t="s">
        <v>52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</row>
    <row r="74" spans="1:11" x14ac:dyDescent="0.3">
      <c r="A74" s="3"/>
    </row>
    <row r="75" spans="1:11" x14ac:dyDescent="0.3">
      <c r="A75" s="3"/>
    </row>
    <row r="76" spans="1:11" x14ac:dyDescent="0.3">
      <c r="A76" s="3"/>
    </row>
    <row r="77" spans="1:11" x14ac:dyDescent="0.3">
      <c r="A77" s="3"/>
    </row>
    <row r="78" spans="1:11" x14ac:dyDescent="0.3">
      <c r="A78" s="3"/>
    </row>
    <row r="79" spans="1:11" x14ac:dyDescent="0.3">
      <c r="A79" s="3"/>
    </row>
    <row r="80" spans="1:11" x14ac:dyDescent="0.3">
      <c r="A80" s="1" t="s">
        <v>26</v>
      </c>
    </row>
    <row r="81" spans="1:11" s="6" customFormat="1" x14ac:dyDescent="0.3">
      <c r="A81" s="5" t="s">
        <v>23</v>
      </c>
      <c r="B81" s="4">
        <v>42460</v>
      </c>
      <c r="C81" s="4">
        <v>42825</v>
      </c>
      <c r="D81" s="4">
        <v>43190</v>
      </c>
      <c r="E81" s="4">
        <v>43555</v>
      </c>
      <c r="F81" s="4">
        <v>43921</v>
      </c>
      <c r="G81" s="4">
        <v>44286</v>
      </c>
      <c r="H81" s="4">
        <v>44651</v>
      </c>
      <c r="I81" s="4">
        <v>45016</v>
      </c>
      <c r="J81" s="4">
        <v>45382</v>
      </c>
      <c r="K81" s="4">
        <v>45747</v>
      </c>
    </row>
    <row r="82" spans="1:11" s="1" customFormat="1" x14ac:dyDescent="0.3">
      <c r="A82" s="3" t="s">
        <v>17</v>
      </c>
      <c r="B82">
        <v>37899.54</v>
      </c>
      <c r="C82">
        <v>30199.25</v>
      </c>
      <c r="D82">
        <v>23857.42</v>
      </c>
      <c r="E82">
        <v>18890.75</v>
      </c>
      <c r="F82">
        <v>26632.94</v>
      </c>
      <c r="G82">
        <v>29000.51</v>
      </c>
      <c r="H82">
        <v>14282.83</v>
      </c>
      <c r="I82">
        <v>35388.01</v>
      </c>
      <c r="J82">
        <v>67915</v>
      </c>
      <c r="K82">
        <v>63102</v>
      </c>
    </row>
    <row r="83" spans="1:11" s="3" customFormat="1" x14ac:dyDescent="0.3">
      <c r="A83" s="3" t="s">
        <v>18</v>
      </c>
      <c r="B83">
        <v>-36693.9</v>
      </c>
      <c r="C83">
        <v>-39571.4</v>
      </c>
      <c r="D83">
        <v>-25139.14</v>
      </c>
      <c r="E83">
        <v>-20878.07</v>
      </c>
      <c r="F83">
        <v>-33114.550000000003</v>
      </c>
      <c r="G83">
        <v>-25672.5</v>
      </c>
      <c r="H83">
        <v>-4443.66</v>
      </c>
      <c r="I83">
        <v>-15417.17</v>
      </c>
      <c r="J83">
        <v>-22781</v>
      </c>
      <c r="K83">
        <v>-49982</v>
      </c>
    </row>
    <row r="84" spans="1:11" s="3" customFormat="1" x14ac:dyDescent="0.3">
      <c r="A84" s="3" t="s">
        <v>19</v>
      </c>
      <c r="B84">
        <v>-3795.12</v>
      </c>
      <c r="C84">
        <v>6205.3</v>
      </c>
      <c r="D84">
        <v>2011.71</v>
      </c>
      <c r="E84">
        <v>8830.3700000000008</v>
      </c>
      <c r="F84">
        <v>3389.61</v>
      </c>
      <c r="G84">
        <v>9904.2000000000007</v>
      </c>
      <c r="H84">
        <v>-3380.17</v>
      </c>
      <c r="I84">
        <v>-26242.9</v>
      </c>
      <c r="J84">
        <v>-37006</v>
      </c>
      <c r="K84">
        <v>-18786</v>
      </c>
    </row>
    <row r="85" spans="1:11" s="1" customFormat="1" x14ac:dyDescent="0.3">
      <c r="A85" s="3" t="s">
        <v>20</v>
      </c>
      <c r="B85">
        <v>-2589.48</v>
      </c>
      <c r="C85">
        <v>-3166.85</v>
      </c>
      <c r="D85">
        <v>729.99</v>
      </c>
      <c r="E85">
        <v>6843.05</v>
      </c>
      <c r="F85">
        <v>-3092</v>
      </c>
      <c r="G85">
        <v>13232.21</v>
      </c>
      <c r="H85">
        <v>6459</v>
      </c>
      <c r="I85">
        <v>-6272.06</v>
      </c>
      <c r="J85">
        <v>8128</v>
      </c>
      <c r="K85">
        <v>-5666</v>
      </c>
    </row>
    <row r="86" spans="1:11" x14ac:dyDescent="0.3">
      <c r="A86" s="3"/>
    </row>
    <row r="87" spans="1:11" x14ac:dyDescent="0.3">
      <c r="A87" s="3"/>
    </row>
    <row r="88" spans="1:11" x14ac:dyDescent="0.3">
      <c r="A88" s="3"/>
    </row>
    <row r="89" spans="1:11" x14ac:dyDescent="0.3">
      <c r="A89" s="3"/>
    </row>
    <row r="90" spans="1:11" s="1" customFormat="1" x14ac:dyDescent="0.3">
      <c r="A90" s="1" t="s">
        <v>41</v>
      </c>
      <c r="B90">
        <v>233.55</v>
      </c>
      <c r="C90">
        <v>281.43</v>
      </c>
      <c r="D90">
        <v>197.46</v>
      </c>
      <c r="E90">
        <v>105.27</v>
      </c>
      <c r="F90">
        <v>42.92</v>
      </c>
      <c r="G90">
        <v>182.32</v>
      </c>
      <c r="H90">
        <v>262.04000000000002</v>
      </c>
      <c r="I90">
        <v>254.22</v>
      </c>
      <c r="J90">
        <v>599.77</v>
      </c>
      <c r="K90">
        <v>407.45</v>
      </c>
    </row>
    <row r="92" spans="1:11" s="1" customFormat="1" x14ac:dyDescent="0.3">
      <c r="A92" s="1" t="s">
        <v>40</v>
      </c>
    </row>
    <row r="93" spans="1:11" x14ac:dyDescent="0.3">
      <c r="A93" s="2" t="s">
        <v>53</v>
      </c>
      <c r="B93" s="7">
        <v>288.72000000000003</v>
      </c>
      <c r="C93" s="7">
        <v>288.73</v>
      </c>
      <c r="D93" s="7">
        <v>288.73</v>
      </c>
      <c r="E93" s="7">
        <v>288.73</v>
      </c>
      <c r="F93" s="7">
        <v>308.89999999999998</v>
      </c>
      <c r="G93" s="7">
        <v>332.03</v>
      </c>
      <c r="H93" s="7">
        <v>332.07</v>
      </c>
      <c r="I93" s="7">
        <v>332.13</v>
      </c>
      <c r="J93" s="7">
        <v>332.37</v>
      </c>
      <c r="K93" s="7">
        <v>368.13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Financials&gt;</vt:lpstr>
      <vt:lpstr>Ratio Analysis</vt:lpstr>
      <vt:lpstr>Cashflow Data</vt:lpstr>
      <vt:lpstr>HistoricalFS</vt:lpstr>
      <vt:lpstr>Data&gt;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Yash Barewar</cp:lastModifiedBy>
  <cp:lastPrinted>2012-12-06T18:14:13Z</cp:lastPrinted>
  <dcterms:created xsi:type="dcterms:W3CDTF">2012-08-17T09:55:37Z</dcterms:created>
  <dcterms:modified xsi:type="dcterms:W3CDTF">2026-02-27T16:36:24Z</dcterms:modified>
</cp:coreProperties>
</file>